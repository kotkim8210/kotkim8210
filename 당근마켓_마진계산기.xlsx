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요약" sheetId="2" state="visible" r:id="rId2"/>
    <sheet name="성주참외" sheetId="3" state="visible" r:id="rId3"/>
    <sheet name="미니밤호박(보우짱)" sheetId="4" state="visible" r:id="rId4"/>
    <sheet name="홍감자" sheetId="5" state="visible" r:id="rId5"/>
    <sheet name="콜라비" sheetId="6" state="visible" r:id="rId6"/>
    <sheet name="쥬얼리프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000000"/>
      <sz val="10"/>
    </font>
    <font>
      <name val="맑은 고딕"/>
      <color rgb="00595959"/>
      <sz val="9"/>
    </font>
    <font>
      <name val="맑은 고딕"/>
      <color rgb="00000000"/>
      <sz val="10"/>
    </font>
    <font>
      <name val="맑은 고딕"/>
      <b val="1"/>
      <color rgb="00000000"/>
      <sz val="9"/>
    </font>
    <font>
      <name val="맑은 고딕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2E5E3A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AF1FB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0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1" fontId="0" fillId="4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  <xf numFmtId="2" fontId="0" fillId="4" borderId="1" applyAlignment="1" pivotButton="0" quotePrefix="0" xfId="0">
      <alignment horizontal="right" vertical="center"/>
    </xf>
    <xf numFmtId="3" fontId="0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2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ont>
        <name val="맑은 고딕"/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62" customWidth="1" min="3" max="3"/>
  </cols>
  <sheetData>
    <row r="1" ht="26" customHeight="1">
      <c r="A1" s="1" t="inlineStr">
        <is>
          <t>⚙️ 설정 (Settings)  —  🟡 노란칸만 입력하면 모든 시트가 자동 계산됩니다</t>
        </is>
      </c>
    </row>
    <row r="3">
      <c r="A3" s="2" t="inlineStr">
        <is>
          <t>항목</t>
        </is>
      </c>
      <c r="B3" s="2" t="inlineStr">
        <is>
          <t>값</t>
        </is>
      </c>
      <c r="C3" s="2" t="inlineStr">
        <is>
          <t>설명</t>
        </is>
      </c>
    </row>
    <row r="4">
      <c r="A4" s="3" t="inlineStr">
        <is>
          <t>일 광고예산(원)</t>
        </is>
      </c>
      <c r="B4" s="4" t="n">
        <v>40000</v>
      </c>
      <c r="C4" s="5" t="inlineStr">
        <is>
          <t>당근 광고에 하루 쓰는 예산</t>
        </is>
      </c>
    </row>
    <row r="5">
      <c r="A5" s="3" t="inlineStr">
        <is>
          <t>예상 일판매건수</t>
        </is>
      </c>
      <c r="B5" s="6" t="n">
        <v>15</v>
      </c>
      <c r="C5" s="5" t="inlineStr">
        <is>
          <t>하루 평균 판매 건수 (↑ 올릴수록 건당 광고비 ↓)</t>
        </is>
      </c>
    </row>
    <row r="6">
      <c r="A6" s="3" t="inlineStr">
        <is>
          <t>광고비/건(원)</t>
        </is>
      </c>
      <c r="B6" s="7">
        <f>IF(B5=0,0,B4/B5)</f>
        <v/>
      </c>
      <c r="C6" s="5" t="inlineStr">
        <is>
          <t>자동계산 = 일광고예산 ÷ 예상 일판매건수</t>
        </is>
      </c>
    </row>
    <row r="7">
      <c r="A7" s="3" t="inlineStr">
        <is>
          <t>당근 수수료율(%)</t>
        </is>
      </c>
      <c r="B7" s="6" t="n">
        <v>0</v>
      </c>
      <c r="C7" s="5" t="inlineStr">
        <is>
          <t>당근마켓 개인거래는 0%. (당근스토어/비즈는 해당 시 수정)</t>
        </is>
      </c>
    </row>
    <row r="8">
      <c r="A8" s="3" t="inlineStr">
        <is>
          <t>목표 마진배수</t>
        </is>
      </c>
      <c r="B8" s="8" t="n">
        <v>1.15</v>
      </c>
      <c r="C8" s="5" t="inlineStr">
        <is>
          <t>권장판매가 = 원가 × 이 배수 (1.15 = 원가 대비 +15%)</t>
        </is>
      </c>
    </row>
    <row r="9">
      <c r="A9" s="3" t="inlineStr">
        <is>
          <t>최소 경고 마진율(%)</t>
        </is>
      </c>
      <c r="B9" s="6" t="n">
        <v>10</v>
      </c>
      <c r="C9" s="5" t="inlineStr">
        <is>
          <t>마진율이 이 값 미만이면 '⚠️주의' 표시</t>
        </is>
      </c>
    </row>
    <row r="10">
      <c r="A10" s="3" t="inlineStr">
        <is>
          <t>택배비(원)</t>
        </is>
      </c>
      <c r="B10" s="9" t="n">
        <v>0</v>
      </c>
      <c r="C10" s="5" t="inlineStr">
        <is>
          <t>⚠️ 공급가에 이미 포함 → 0. (우리 회사는 100% 택배, 직거래 안 함)</t>
        </is>
      </c>
    </row>
    <row r="12">
      <c r="A12" s="10" t="inlineStr">
        <is>
          <t>📌 원가·마진 계산식
  • 변동원가 = 공급가(택배포함) + 광고비/건
  • 권장판매가 = MAX(시세, 변동원가 × 목표마진배수)  → 시세에 맞추되 원가 밑으론 안 내려감(손해 0)
  • 마진(원) = 적용판매가 × (1 − 수수료율) − 변동원가
  • 택배비는 공급가에 포함 → 별도로 더하지 않습니다.</t>
        </is>
      </c>
      <c r="B12" s="11" t="n"/>
      <c r="C12" s="11" t="n"/>
    </row>
    <row r="13">
      <c r="A13" s="11" t="n"/>
      <c r="B13" s="11" t="n"/>
      <c r="C13" s="11" t="n"/>
    </row>
    <row r="14">
      <c r="A14" s="11" t="n"/>
      <c r="B14" s="11" t="n"/>
      <c r="C14" s="11" t="n"/>
    </row>
    <row r="15">
      <c r="A15" s="11" t="n"/>
      <c r="B15" s="11" t="n"/>
      <c r="C15" s="11" t="n"/>
    </row>
    <row r="16">
      <c r="A16" s="11" t="n"/>
      <c r="B16" s="11" t="n"/>
      <c r="C16" s="11" t="n"/>
    </row>
  </sheetData>
  <mergeCells count="2">
    <mergeCell ref="A1:C1"/>
    <mergeCell ref="A12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2" customWidth="1" min="4" max="4"/>
    <col width="14" customWidth="1" min="5" max="5"/>
    <col width="28" customWidth="1" min="6" max="6"/>
  </cols>
  <sheetData>
    <row r="1" ht="26" customHeight="1">
      <c r="A1" s="12" t="inlineStr">
        <is>
          <t>📊 요약 (Summary)</t>
        </is>
      </c>
    </row>
    <row r="3">
      <c r="A3" s="10" t="inlineStr">
        <is>
          <t>🎯 핵심 (이전 세션의 '택배 말고 직거래로 가라' 결론은 폐기)
  • 공급가에 택배비가 이미 포함 → 별도 택배비를 더하지 않습니다(택배비 = 0).
  • 우리 회사는 사실상 100% 택배거래 — 직거래는 하지 않습니다. ('직출고'는 산지직출고/드롭배송, 직거래 아님)
  • 따라서 마진 레버는 ① 광고 효율(일판매건수 ↑ → 건당 광고비 ↓) ② 공급가 대비 마크업(목표 마진배수) ③ 5·10kg 등 단가 높은 중량 위주.
  • 예) 설정의 '예상 일판매건수'를 15 → 30으로 올리면 건당 광고비가 2,667 → 1,333원으로 반토막.</t>
        </is>
      </c>
      <c r="B3" s="11" t="n"/>
      <c r="C3" s="11" t="n"/>
      <c r="D3" s="11" t="n"/>
      <c r="E3" s="11" t="n"/>
      <c r="F3" s="11" t="n"/>
    </row>
    <row r="4">
      <c r="A4" s="11" t="n"/>
      <c r="B4" s="11" t="n"/>
      <c r="C4" s="11" t="n"/>
      <c r="D4" s="11" t="n"/>
      <c r="E4" s="11" t="n"/>
      <c r="F4" s="11" t="n"/>
    </row>
    <row r="5">
      <c r="A5" s="11" t="n"/>
      <c r="B5" s="11" t="n"/>
      <c r="C5" s="11" t="n"/>
      <c r="D5" s="11" t="n"/>
      <c r="E5" s="11" t="n"/>
      <c r="F5" s="11" t="n"/>
    </row>
    <row r="6">
      <c r="A6" s="11" t="n"/>
      <c r="B6" s="11" t="n"/>
      <c r="C6" s="11" t="n"/>
      <c r="D6" s="11" t="n"/>
      <c r="E6" s="11" t="n"/>
      <c r="F6" s="11" t="n"/>
    </row>
    <row r="7">
      <c r="A7" s="11" t="n"/>
      <c r="B7" s="11" t="n"/>
      <c r="C7" s="11" t="n"/>
      <c r="D7" s="11" t="n"/>
      <c r="E7" s="11" t="n"/>
      <c r="F7" s="11" t="n"/>
    </row>
    <row r="8">
      <c r="A8" s="11" t="n"/>
      <c r="B8" s="11" t="n"/>
      <c r="C8" s="11" t="n"/>
      <c r="D8" s="11" t="n"/>
      <c r="E8" s="11" t="n"/>
      <c r="F8" s="11" t="n"/>
    </row>
    <row r="10" ht="30" customHeight="1">
      <c r="A10" s="2" t="inlineStr">
        <is>
          <t>상품</t>
        </is>
      </c>
      <c r="B10" s="2" t="inlineStr">
        <is>
          <t>옵션수</t>
        </is>
      </c>
      <c r="C10" s="2" t="inlineStr">
        <is>
          <t>평균 마진율
(권장가 기준)</t>
        </is>
      </c>
      <c r="D10" s="2" t="inlineStr">
        <is>
          <t>최저 마진율</t>
        </is>
      </c>
      <c r="E10" s="2" t="inlineStr">
        <is>
          <t>최고 마진(원)</t>
        </is>
      </c>
      <c r="F10" s="2" t="inlineStr">
        <is>
          <t>비고</t>
        </is>
      </c>
    </row>
    <row r="11">
      <c r="A11" s="13" t="inlineStr">
        <is>
          <t>성주참외</t>
        </is>
      </c>
      <c r="B11" s="14">
        <f>COUNT('성주참외'!$I$4:$I$18)</f>
        <v/>
      </c>
      <c r="C11" s="15">
        <f>IFERROR(AVERAGE('성주참외'!$J$4:$J$18),"")</f>
        <v/>
      </c>
      <c r="D11" s="15">
        <f>IFERROR(MIN('성주참외'!$J$4:$J$18),"")</f>
        <v/>
      </c>
      <c r="E11" s="16">
        <f>IFERROR(MAX('성주참외'!$I$4:$I$18),"")</f>
        <v/>
      </c>
      <c r="F11" s="5" t="inlineStr">
        <is>
          <t>로얄과/소과/가성비 3등급</t>
        </is>
      </c>
    </row>
    <row r="12">
      <c r="A12" s="13" t="inlineStr">
        <is>
          <t>미니밤호박(보우짱)</t>
        </is>
      </c>
      <c r="B12" s="14">
        <f>COUNT('미니밤호박(보우짱)'!$I$4:$I$10)</f>
        <v/>
      </c>
      <c r="C12" s="15">
        <f>IFERROR(AVERAGE('미니밤호박(보우짱)'!$J$4:$J$10),"")</f>
        <v/>
      </c>
      <c r="D12" s="15">
        <f>IFERROR(MIN('미니밤호박(보우짱)'!$J$4:$J$10),"")</f>
        <v/>
      </c>
      <c r="E12" s="16">
        <f>IFERROR(MAX('미니밤호박(보우짱)'!$I$4:$I$10),"")</f>
        <v/>
      </c>
      <c r="F12" s="5" t="inlineStr">
        <is>
          <t>단일 등급(로얄과)</t>
        </is>
      </c>
    </row>
    <row r="13">
      <c r="A13" s="13" t="inlineStr">
        <is>
          <t>홍감자</t>
        </is>
      </c>
      <c r="B13" s="14">
        <f>COUNT('홍감자'!$I$4:$I$23)</f>
        <v/>
      </c>
      <c r="C13" s="15">
        <f>IFERROR(AVERAGE('홍감자'!$J$4:$J$23),"")</f>
        <v/>
      </c>
      <c r="D13" s="15">
        <f>IFERROR(MIN('홍감자'!$J$4:$J$23),"")</f>
        <v/>
      </c>
      <c r="E13" s="16">
        <f>IFERROR(MAX('홍감자'!$I$4:$I$23),"")</f>
        <v/>
      </c>
      <c r="F13" s="5" t="inlineStr">
        <is>
          <t>소~왕특 5등급</t>
        </is>
      </c>
    </row>
    <row r="14">
      <c r="A14" s="13" t="inlineStr">
        <is>
          <t>콜라비</t>
        </is>
      </c>
      <c r="B14" s="14">
        <f>COUNT('콜라비'!$I$4:$I$11)</f>
        <v/>
      </c>
      <c r="C14" s="15">
        <f>IFERROR(AVERAGE('콜라비'!$J$4:$J$11),"")</f>
        <v/>
      </c>
      <c r="D14" s="15">
        <f>IFERROR(MIN('콜라비'!$J$4:$J$11),"")</f>
        <v/>
      </c>
      <c r="E14" s="16">
        <f>IFERROR(MAX('콜라비'!$I$4:$I$11),"")</f>
        <v/>
      </c>
      <c r="F14" s="5" t="inlineStr">
        <is>
          <t>공급가 미수령(템플릿)</t>
        </is>
      </c>
    </row>
    <row r="15">
      <c r="A15" s="13" t="inlineStr">
        <is>
          <t>쥬얼리프룻</t>
        </is>
      </c>
      <c r="B15" s="14">
        <f>COUNT('쥬얼리프룻'!$I$4:$I$11)</f>
        <v/>
      </c>
      <c r="C15" s="15">
        <f>IFERROR(AVERAGE('쥬얼리프룻'!$J$4:$J$11),"")</f>
        <v/>
      </c>
      <c r="D15" s="15">
        <f>IFERROR(MIN('쥬얼리프룻'!$J$4:$J$11),"")</f>
        <v/>
      </c>
      <c r="E15" s="16">
        <f>IFERROR(MAX('쥬얼리프룻'!$I$4:$I$11),"")</f>
        <v/>
      </c>
      <c r="F15" s="5" t="inlineStr">
        <is>
          <t>공급가 미수령(템플릿)</t>
        </is>
      </c>
    </row>
    <row r="17">
      <c r="A17" s="17" t="inlineStr">
        <is>
          <t>ℹ️ 평균 마진율은 '적용판매가 = 권장판매가(원가+15%)' 기준의 기본값입니다. 각 상품 시트의 노란 '시세'칸에 실제 당근 시세를 넣으면 시장가 기준 마진으로 즉시 바뀝니다.</t>
        </is>
      </c>
    </row>
    <row r="18"/>
  </sheetData>
  <mergeCells count="3">
    <mergeCell ref="A17:F18"/>
    <mergeCell ref="A1:F1"/>
    <mergeCell ref="A3:F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9" customWidth="1" min="10" max="10"/>
    <col width="9" customWidth="1" min="11" max="11"/>
  </cols>
  <sheetData>
    <row r="1" ht="24" customHeight="1">
      <c r="A1" s="1" t="inlineStr">
        <is>
          <t>🍈 성주참외 마진계산기</t>
        </is>
      </c>
    </row>
    <row r="2">
      <c r="A2" s="17" t="inlineStr">
        <is>
          <t>🟡 공급가(매입가, 택배비 포함)만 실제값으로 덮어쓰면 권장판매가·마진이 자동 계산됩니다. · 시세를 입력하면 시장가 기준으로 재계산. · 실중량: 2kg→1.5 / 3kg→2.5 / 5kg→4.5 / 10kg→9kg · 가성비=못난이(깨짐만 보상).</t>
        </is>
      </c>
    </row>
    <row r="3" ht="30" customHeight="1">
      <c r="A3" s="18" t="inlineStr">
        <is>
          <t>등급</t>
        </is>
      </c>
      <c r="B3" s="18" t="inlineStr">
        <is>
          <t>옵션(중량)</t>
        </is>
      </c>
      <c r="C3" s="18" t="inlineStr">
        <is>
          <t>공급가
(원, 택배포함) 🟡</t>
        </is>
      </c>
      <c r="D3" s="18" t="inlineStr">
        <is>
          <t>시세
(원, 선택) 🟡</t>
        </is>
      </c>
      <c r="E3" s="18" t="inlineStr">
        <is>
          <t>광고비/건</t>
        </is>
      </c>
      <c r="F3" s="18" t="inlineStr">
        <is>
          <t>변동원가</t>
        </is>
      </c>
      <c r="G3" s="18" t="inlineStr">
        <is>
          <t>권장판매가</t>
        </is>
      </c>
      <c r="H3" s="18" t="inlineStr">
        <is>
          <t>적용판매가 🟡</t>
        </is>
      </c>
      <c r="I3" s="18" t="inlineStr">
        <is>
          <t>마진(원)</t>
        </is>
      </c>
      <c r="J3" s="18" t="inlineStr">
        <is>
          <t>마진율</t>
        </is>
      </c>
      <c r="K3" s="18" t="inlineStr">
        <is>
          <t>경고</t>
        </is>
      </c>
    </row>
    <row r="4">
      <c r="A4" s="14" t="inlineStr">
        <is>
          <t>로얄과</t>
        </is>
      </c>
      <c r="B4" s="14" t="inlineStr">
        <is>
          <t>1kg</t>
        </is>
      </c>
      <c r="C4" s="19" t="n">
        <v>4800</v>
      </c>
      <c r="D4" s="20" t="n"/>
      <c r="E4" s="21">
        <f>IF($C4="","",'설정'!$B$6)</f>
        <v/>
      </c>
      <c r="F4" s="21">
        <f>IF($C4="","",$C4+E4)</f>
        <v/>
      </c>
      <c r="G4" s="21">
        <f>IF($C4="","",ROUNDUP(MAX(N(D4),F4*'설정'!$B$8/(1-'설정'!$B$7/100)),-2))</f>
        <v/>
      </c>
      <c r="H4" s="20">
        <f>IF($C4="","",G4)</f>
        <v/>
      </c>
      <c r="I4" s="16">
        <f>IF($C4="","",H4*(1-'설정'!$B$7/100)-F4)</f>
        <v/>
      </c>
      <c r="J4" s="15">
        <f>IF($C4="","",IF(H4=0,0,I4/H4))</f>
        <v/>
      </c>
      <c r="K4" s="14">
        <f>IF($C4="","",IF(I4&lt;0,"⚠️손해",IF(J4&lt;'설정'!$B$9/100,"⚠️주의","✅")))</f>
        <v/>
      </c>
    </row>
    <row r="5">
      <c r="A5" s="14" t="inlineStr">
        <is>
          <t>로얄과</t>
        </is>
      </c>
      <c r="B5" s="14" t="inlineStr">
        <is>
          <t>2kg</t>
        </is>
      </c>
      <c r="C5" s="19" t="n">
        <v>5900</v>
      </c>
      <c r="D5" s="20" t="n"/>
      <c r="E5" s="21">
        <f>IF($C5="","",'설정'!$B$6)</f>
        <v/>
      </c>
      <c r="F5" s="21">
        <f>IF($C5="","",$C5+E5)</f>
        <v/>
      </c>
      <c r="G5" s="21">
        <f>IF($C5="","",ROUNDUP(MAX(N(D5),F5*'설정'!$B$8/(1-'설정'!$B$7/100)),-2))</f>
        <v/>
      </c>
      <c r="H5" s="20">
        <f>IF($C5="","",G5)</f>
        <v/>
      </c>
      <c r="I5" s="16">
        <f>IF($C5="","",H5*(1-'설정'!$B$7/100)-F5)</f>
        <v/>
      </c>
      <c r="J5" s="15">
        <f>IF($C5="","",IF(H5=0,0,I5/H5))</f>
        <v/>
      </c>
      <c r="K5" s="14">
        <f>IF($C5="","",IF(I5&lt;0,"⚠️손해",IF(J5&lt;'설정'!$B$9/100,"⚠️주의","✅")))</f>
        <v/>
      </c>
    </row>
    <row r="6">
      <c r="A6" s="14" t="inlineStr">
        <is>
          <t>로얄과</t>
        </is>
      </c>
      <c r="B6" s="14" t="inlineStr">
        <is>
          <t>3kg</t>
        </is>
      </c>
      <c r="C6" s="19" t="n">
        <v>7350</v>
      </c>
      <c r="D6" s="20" t="n"/>
      <c r="E6" s="21">
        <f>IF($C6="","",'설정'!$B$6)</f>
        <v/>
      </c>
      <c r="F6" s="21">
        <f>IF($C6="","",$C6+E6)</f>
        <v/>
      </c>
      <c r="G6" s="21">
        <f>IF($C6="","",ROUNDUP(MAX(N(D6),F6*'설정'!$B$8/(1-'설정'!$B$7/100)),-2))</f>
        <v/>
      </c>
      <c r="H6" s="20">
        <f>IF($C6="","",G6)</f>
        <v/>
      </c>
      <c r="I6" s="16">
        <f>IF($C6="","",H6*(1-'설정'!$B$7/100)-F6)</f>
        <v/>
      </c>
      <c r="J6" s="15">
        <f>IF($C6="","",IF(H6=0,0,I6/H6))</f>
        <v/>
      </c>
      <c r="K6" s="14">
        <f>IF($C6="","",IF(I6&lt;0,"⚠️손해",IF(J6&lt;'설정'!$B$9/100,"⚠️주의","✅")))</f>
        <v/>
      </c>
    </row>
    <row r="7">
      <c r="A7" s="14" t="inlineStr">
        <is>
          <t>로얄과</t>
        </is>
      </c>
      <c r="B7" s="14" t="inlineStr">
        <is>
          <t>5kg</t>
        </is>
      </c>
      <c r="C7" s="19" t="n">
        <v>10500</v>
      </c>
      <c r="D7" s="20" t="n"/>
      <c r="E7" s="21">
        <f>IF($C7="","",'설정'!$B$6)</f>
        <v/>
      </c>
      <c r="F7" s="21">
        <f>IF($C7="","",$C7+E7)</f>
        <v/>
      </c>
      <c r="G7" s="21">
        <f>IF($C7="","",ROUNDUP(MAX(N(D7),F7*'설정'!$B$8/(1-'설정'!$B$7/100)),-2))</f>
        <v/>
      </c>
      <c r="H7" s="20">
        <f>IF($C7="","",G7)</f>
        <v/>
      </c>
      <c r="I7" s="16">
        <f>IF($C7="","",H7*(1-'설정'!$B$7/100)-F7)</f>
        <v/>
      </c>
      <c r="J7" s="15">
        <f>IF($C7="","",IF(H7=0,0,I7/H7))</f>
        <v/>
      </c>
      <c r="K7" s="14">
        <f>IF($C7="","",IF(I7&lt;0,"⚠️손해",IF(J7&lt;'설정'!$B$9/100,"⚠️주의","✅")))</f>
        <v/>
      </c>
    </row>
    <row r="8">
      <c r="A8" s="14" t="inlineStr">
        <is>
          <t>로얄과</t>
        </is>
      </c>
      <c r="B8" s="14" t="inlineStr">
        <is>
          <t>10kg</t>
        </is>
      </c>
      <c r="C8" s="19" t="n">
        <v>16900</v>
      </c>
      <c r="D8" s="20" t="n"/>
      <c r="E8" s="21">
        <f>IF($C8="","",'설정'!$B$6)</f>
        <v/>
      </c>
      <c r="F8" s="21">
        <f>IF($C8="","",$C8+E8)</f>
        <v/>
      </c>
      <c r="G8" s="21">
        <f>IF($C8="","",ROUNDUP(MAX(N(D8),F8*'설정'!$B$8/(1-'설정'!$B$7/100)),-2))</f>
        <v/>
      </c>
      <c r="H8" s="20">
        <f>IF($C8="","",G8)</f>
        <v/>
      </c>
      <c r="I8" s="16">
        <f>IF($C8="","",H8*(1-'설정'!$B$7/100)-F8)</f>
        <v/>
      </c>
      <c r="J8" s="15">
        <f>IF($C8="","",IF(H8=0,0,I8/H8))</f>
        <v/>
      </c>
      <c r="K8" s="14">
        <f>IF($C8="","",IF(I8&lt;0,"⚠️손해",IF(J8&lt;'설정'!$B$9/100,"⚠️주의","✅")))</f>
        <v/>
      </c>
    </row>
    <row r="9">
      <c r="A9" s="14" t="inlineStr">
        <is>
          <t>소과</t>
        </is>
      </c>
      <c r="B9" s="14" t="inlineStr">
        <is>
          <t>1kg</t>
        </is>
      </c>
      <c r="C9" s="19" t="n">
        <v>4600</v>
      </c>
      <c r="D9" s="20" t="n"/>
      <c r="E9" s="21">
        <f>IF($C9="","",'설정'!$B$6)</f>
        <v/>
      </c>
      <c r="F9" s="21">
        <f>IF($C9="","",$C9+E9)</f>
        <v/>
      </c>
      <c r="G9" s="21">
        <f>IF($C9="","",ROUNDUP(MAX(N(D9),F9*'설정'!$B$8/(1-'설정'!$B$7/100)),-2))</f>
        <v/>
      </c>
      <c r="H9" s="20">
        <f>IF($C9="","",G9)</f>
        <v/>
      </c>
      <c r="I9" s="16">
        <f>IF($C9="","",H9*(1-'설정'!$B$7/100)-F9)</f>
        <v/>
      </c>
      <c r="J9" s="15">
        <f>IF($C9="","",IF(H9=0,0,I9/H9))</f>
        <v/>
      </c>
      <c r="K9" s="14">
        <f>IF($C9="","",IF(I9&lt;0,"⚠️손해",IF(J9&lt;'설정'!$B$9/100,"⚠️주의","✅")))</f>
        <v/>
      </c>
    </row>
    <row r="10">
      <c r="A10" s="14" t="inlineStr">
        <is>
          <t>소과</t>
        </is>
      </c>
      <c r="B10" s="14" t="inlineStr">
        <is>
          <t>2kg</t>
        </is>
      </c>
      <c r="C10" s="19" t="n">
        <v>5600</v>
      </c>
      <c r="D10" s="20" t="n"/>
      <c r="E10" s="21">
        <f>IF($C10="","",'설정'!$B$6)</f>
        <v/>
      </c>
      <c r="F10" s="21">
        <f>IF($C10="","",$C10+E10)</f>
        <v/>
      </c>
      <c r="G10" s="21">
        <f>IF($C10="","",ROUNDUP(MAX(N(D10),F10*'설정'!$B$8/(1-'설정'!$B$7/100)),-2))</f>
        <v/>
      </c>
      <c r="H10" s="20">
        <f>IF($C10="","",G10)</f>
        <v/>
      </c>
      <c r="I10" s="16">
        <f>IF($C10="","",H10*(1-'설정'!$B$7/100)-F10)</f>
        <v/>
      </c>
      <c r="J10" s="15">
        <f>IF($C10="","",IF(H10=0,0,I10/H10))</f>
        <v/>
      </c>
      <c r="K10" s="14">
        <f>IF($C10="","",IF(I10&lt;0,"⚠️손해",IF(J10&lt;'설정'!$B$9/100,"⚠️주의","✅")))</f>
        <v/>
      </c>
    </row>
    <row r="11">
      <c r="A11" s="14" t="inlineStr">
        <is>
          <t>소과</t>
        </is>
      </c>
      <c r="B11" s="14" t="inlineStr">
        <is>
          <t>3kg</t>
        </is>
      </c>
      <c r="C11" s="19" t="n">
        <v>6850</v>
      </c>
      <c r="D11" s="20" t="n"/>
      <c r="E11" s="21">
        <f>IF($C11="","",'설정'!$B$6)</f>
        <v/>
      </c>
      <c r="F11" s="21">
        <f>IF($C11="","",$C11+E11)</f>
        <v/>
      </c>
      <c r="G11" s="21">
        <f>IF($C11="","",ROUNDUP(MAX(N(D11),F11*'설정'!$B$8/(1-'설정'!$B$7/100)),-2))</f>
        <v/>
      </c>
      <c r="H11" s="20">
        <f>IF($C11="","",G11)</f>
        <v/>
      </c>
      <c r="I11" s="16">
        <f>IF($C11="","",H11*(1-'설정'!$B$7/100)-F11)</f>
        <v/>
      </c>
      <c r="J11" s="15">
        <f>IF($C11="","",IF(H11=0,0,I11/H11))</f>
        <v/>
      </c>
      <c r="K11" s="14">
        <f>IF($C11="","",IF(I11&lt;0,"⚠️손해",IF(J11&lt;'설정'!$B$9/100,"⚠️주의","✅")))</f>
        <v/>
      </c>
    </row>
    <row r="12">
      <c r="A12" s="14" t="inlineStr">
        <is>
          <t>소과</t>
        </is>
      </c>
      <c r="B12" s="14" t="inlineStr">
        <is>
          <t>5kg</t>
        </is>
      </c>
      <c r="C12" s="19" t="n">
        <v>9600</v>
      </c>
      <c r="D12" s="20" t="n"/>
      <c r="E12" s="21">
        <f>IF($C12="","",'설정'!$B$6)</f>
        <v/>
      </c>
      <c r="F12" s="21">
        <f>IF($C12="","",$C12+E12)</f>
        <v/>
      </c>
      <c r="G12" s="21">
        <f>IF($C12="","",ROUNDUP(MAX(N(D12),F12*'설정'!$B$8/(1-'설정'!$B$7/100)),-2))</f>
        <v/>
      </c>
      <c r="H12" s="20">
        <f>IF($C12="","",G12)</f>
        <v/>
      </c>
      <c r="I12" s="16">
        <f>IF($C12="","",H12*(1-'설정'!$B$7/100)-F12)</f>
        <v/>
      </c>
      <c r="J12" s="15">
        <f>IF($C12="","",IF(H12=0,0,I12/H12))</f>
        <v/>
      </c>
      <c r="K12" s="14">
        <f>IF($C12="","",IF(I12&lt;0,"⚠️손해",IF(J12&lt;'설정'!$B$9/100,"⚠️주의","✅")))</f>
        <v/>
      </c>
    </row>
    <row r="13">
      <c r="A13" s="14" t="inlineStr">
        <is>
          <t>소과</t>
        </is>
      </c>
      <c r="B13" s="14" t="inlineStr">
        <is>
          <t>10kg</t>
        </is>
      </c>
      <c r="C13" s="19" t="n">
        <v>15900</v>
      </c>
      <c r="D13" s="20" t="n"/>
      <c r="E13" s="21">
        <f>IF($C13="","",'설정'!$B$6)</f>
        <v/>
      </c>
      <c r="F13" s="21">
        <f>IF($C13="","",$C13+E13)</f>
        <v/>
      </c>
      <c r="G13" s="21">
        <f>IF($C13="","",ROUNDUP(MAX(N(D13),F13*'설정'!$B$8/(1-'설정'!$B$7/100)),-2))</f>
        <v/>
      </c>
      <c r="H13" s="20">
        <f>IF($C13="","",G13)</f>
        <v/>
      </c>
      <c r="I13" s="16">
        <f>IF($C13="","",H13*(1-'설정'!$B$7/100)-F13)</f>
        <v/>
      </c>
      <c r="J13" s="15">
        <f>IF($C13="","",IF(H13=0,0,I13/H13))</f>
        <v/>
      </c>
      <c r="K13" s="14">
        <f>IF($C13="","",IF(I13&lt;0,"⚠️손해",IF(J13&lt;'설정'!$B$9/100,"⚠️주의","✅")))</f>
        <v/>
      </c>
    </row>
    <row r="14">
      <c r="A14" s="14" t="inlineStr">
        <is>
          <t>가성비 혼합과</t>
        </is>
      </c>
      <c r="B14" s="14" t="inlineStr">
        <is>
          <t>1kg</t>
        </is>
      </c>
      <c r="C14" s="19" t="n">
        <v>4500</v>
      </c>
      <c r="D14" s="20" t="n"/>
      <c r="E14" s="21">
        <f>IF($C14="","",'설정'!$B$6)</f>
        <v/>
      </c>
      <c r="F14" s="21">
        <f>IF($C14="","",$C14+E14)</f>
        <v/>
      </c>
      <c r="G14" s="21">
        <f>IF($C14="","",ROUNDUP(MAX(N(D14),F14*'설정'!$B$8/(1-'설정'!$B$7/100)),-2))</f>
        <v/>
      </c>
      <c r="H14" s="20">
        <f>IF($C14="","",G14)</f>
        <v/>
      </c>
      <c r="I14" s="16">
        <f>IF($C14="","",H14*(1-'설정'!$B$7/100)-F14)</f>
        <v/>
      </c>
      <c r="J14" s="15">
        <f>IF($C14="","",IF(H14=0,0,I14/H14))</f>
        <v/>
      </c>
      <c r="K14" s="14">
        <f>IF($C14="","",IF(I14&lt;0,"⚠️손해",IF(J14&lt;'설정'!$B$9/100,"⚠️주의","✅")))</f>
        <v/>
      </c>
    </row>
    <row r="15">
      <c r="A15" s="14" t="inlineStr">
        <is>
          <t>가성비 혼합과</t>
        </is>
      </c>
      <c r="B15" s="14" t="inlineStr">
        <is>
          <t>2kg</t>
        </is>
      </c>
      <c r="C15" s="19" t="n">
        <v>5300</v>
      </c>
      <c r="D15" s="20" t="n"/>
      <c r="E15" s="21">
        <f>IF($C15="","",'설정'!$B$6)</f>
        <v/>
      </c>
      <c r="F15" s="21">
        <f>IF($C15="","",$C15+E15)</f>
        <v/>
      </c>
      <c r="G15" s="21">
        <f>IF($C15="","",ROUNDUP(MAX(N(D15),F15*'설정'!$B$8/(1-'설정'!$B$7/100)),-2))</f>
        <v/>
      </c>
      <c r="H15" s="20">
        <f>IF($C15="","",G15)</f>
        <v/>
      </c>
      <c r="I15" s="16">
        <f>IF($C15="","",H15*(1-'설정'!$B$7/100)-F15)</f>
        <v/>
      </c>
      <c r="J15" s="15">
        <f>IF($C15="","",IF(H15=0,0,I15/H15))</f>
        <v/>
      </c>
      <c r="K15" s="14">
        <f>IF($C15="","",IF(I15&lt;0,"⚠️손해",IF(J15&lt;'설정'!$B$9/100,"⚠️주의","✅")))</f>
        <v/>
      </c>
    </row>
    <row r="16">
      <c r="A16" s="14" t="inlineStr">
        <is>
          <t>가성비 혼합과</t>
        </is>
      </c>
      <c r="B16" s="14" t="inlineStr">
        <is>
          <t>3kg</t>
        </is>
      </c>
      <c r="C16" s="19" t="n">
        <v>6700</v>
      </c>
      <c r="D16" s="20" t="n"/>
      <c r="E16" s="21">
        <f>IF($C16="","",'설정'!$B$6)</f>
        <v/>
      </c>
      <c r="F16" s="21">
        <f>IF($C16="","",$C16+E16)</f>
        <v/>
      </c>
      <c r="G16" s="21">
        <f>IF($C16="","",ROUNDUP(MAX(N(D16),F16*'설정'!$B$8/(1-'설정'!$B$7/100)),-2))</f>
        <v/>
      </c>
      <c r="H16" s="20">
        <f>IF($C16="","",G16)</f>
        <v/>
      </c>
      <c r="I16" s="16">
        <f>IF($C16="","",H16*(1-'설정'!$B$7/100)-F16)</f>
        <v/>
      </c>
      <c r="J16" s="15">
        <f>IF($C16="","",IF(H16=0,0,I16/H16))</f>
        <v/>
      </c>
      <c r="K16" s="14">
        <f>IF($C16="","",IF(I16&lt;0,"⚠️손해",IF(J16&lt;'설정'!$B$9/100,"⚠️주의","✅")))</f>
        <v/>
      </c>
    </row>
    <row r="17">
      <c r="A17" s="14" t="inlineStr">
        <is>
          <t>가성비 혼합과</t>
        </is>
      </c>
      <c r="B17" s="14" t="inlineStr">
        <is>
          <t>5kg</t>
        </is>
      </c>
      <c r="C17" s="19" t="n">
        <v>8500</v>
      </c>
      <c r="D17" s="20" t="n"/>
      <c r="E17" s="21">
        <f>IF($C17="","",'설정'!$B$6)</f>
        <v/>
      </c>
      <c r="F17" s="21">
        <f>IF($C17="","",$C17+E17)</f>
        <v/>
      </c>
      <c r="G17" s="21">
        <f>IF($C17="","",ROUNDUP(MAX(N(D17),F17*'설정'!$B$8/(1-'설정'!$B$7/100)),-2))</f>
        <v/>
      </c>
      <c r="H17" s="20">
        <f>IF($C17="","",G17)</f>
        <v/>
      </c>
      <c r="I17" s="16">
        <f>IF($C17="","",H17*(1-'설정'!$B$7/100)-F17)</f>
        <v/>
      </c>
      <c r="J17" s="15">
        <f>IF($C17="","",IF(H17=0,0,I17/H17))</f>
        <v/>
      </c>
      <c r="K17" s="14">
        <f>IF($C17="","",IF(I17&lt;0,"⚠️손해",IF(J17&lt;'설정'!$B$9/100,"⚠️주의","✅")))</f>
        <v/>
      </c>
    </row>
    <row r="18">
      <c r="A18" s="14" t="inlineStr">
        <is>
          <t>가성비 혼합과</t>
        </is>
      </c>
      <c r="B18" s="14" t="inlineStr">
        <is>
          <t>10kg</t>
        </is>
      </c>
      <c r="C18" s="19" t="n">
        <v>11500</v>
      </c>
      <c r="D18" s="20" t="n"/>
      <c r="E18" s="21">
        <f>IF($C18="","",'설정'!$B$6)</f>
        <v/>
      </c>
      <c r="F18" s="21">
        <f>IF($C18="","",$C18+E18)</f>
        <v/>
      </c>
      <c r="G18" s="21">
        <f>IF($C18="","",ROUNDUP(MAX(N(D18),F18*'설정'!$B$8/(1-'설정'!$B$7/100)),-2))</f>
        <v/>
      </c>
      <c r="H18" s="20">
        <f>IF($C18="","",G18)</f>
        <v/>
      </c>
      <c r="I18" s="16">
        <f>IF($C18="","",H18*(1-'설정'!$B$7/100)-F18)</f>
        <v/>
      </c>
      <c r="J18" s="15">
        <f>IF($C18="","",IF(H18=0,0,I18/H18))</f>
        <v/>
      </c>
      <c r="K18" s="14">
        <f>IF($C18="","",IF(I18&lt;0,"⚠️손해",IF(J18&lt;'설정'!$B$9/100,"⚠️주의","✅")))</f>
        <v/>
      </c>
    </row>
  </sheetData>
  <mergeCells count="2">
    <mergeCell ref="A2:K2"/>
    <mergeCell ref="A1:K1"/>
  </mergeCells>
  <conditionalFormatting sqref="I4:J18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9" customWidth="1" min="10" max="10"/>
    <col width="9" customWidth="1" min="11" max="11"/>
  </cols>
  <sheetData>
    <row r="1" ht="24" customHeight="1">
      <c r="A1" s="1" t="inlineStr">
        <is>
          <t>🎃 미니밤호박(보우짱) 마진계산기</t>
        </is>
      </c>
    </row>
    <row r="2">
      <c r="A2" s="17" t="inlineStr">
        <is>
          <t>🟡 공급가(매입가, 택배비 포함)만 실제값으로 덮어쓰면 권장판매가·마진이 자동 계산됩니다. · 시세를 입력하면 시장가 기준으로 재계산. · 제주산 · 한진택배 · 비과세.</t>
        </is>
      </c>
    </row>
    <row r="3" ht="30" customHeight="1">
      <c r="A3" s="18" t="inlineStr">
        <is>
          <t>등급</t>
        </is>
      </c>
      <c r="B3" s="18" t="inlineStr">
        <is>
          <t>옵션(중량)</t>
        </is>
      </c>
      <c r="C3" s="18" t="inlineStr">
        <is>
          <t>공급가
(원, 택배포함) 🟡</t>
        </is>
      </c>
      <c r="D3" s="18" t="inlineStr">
        <is>
          <t>시세
(원, 선택) 🟡</t>
        </is>
      </c>
      <c r="E3" s="18" t="inlineStr">
        <is>
          <t>광고비/건</t>
        </is>
      </c>
      <c r="F3" s="18" t="inlineStr">
        <is>
          <t>변동원가</t>
        </is>
      </c>
      <c r="G3" s="18" t="inlineStr">
        <is>
          <t>권장판매가</t>
        </is>
      </c>
      <c r="H3" s="18" t="inlineStr">
        <is>
          <t>적용판매가 🟡</t>
        </is>
      </c>
      <c r="I3" s="18" t="inlineStr">
        <is>
          <t>마진(원)</t>
        </is>
      </c>
      <c r="J3" s="18" t="inlineStr">
        <is>
          <t>마진율</t>
        </is>
      </c>
      <c r="K3" s="18" t="inlineStr">
        <is>
          <t>경고</t>
        </is>
      </c>
    </row>
    <row r="4">
      <c r="A4" s="14" t="inlineStr">
        <is>
          <t>로얄과</t>
        </is>
      </c>
      <c r="B4" s="14" t="inlineStr">
        <is>
          <t>1kg</t>
        </is>
      </c>
      <c r="C4" s="19" t="n">
        <v>5600</v>
      </c>
      <c r="D4" s="20" t="n"/>
      <c r="E4" s="21">
        <f>IF($C4="","",'설정'!$B$6)</f>
        <v/>
      </c>
      <c r="F4" s="21">
        <f>IF($C4="","",$C4+E4)</f>
        <v/>
      </c>
      <c r="G4" s="21">
        <f>IF($C4="","",ROUNDUP(MAX(N(D4),F4*'설정'!$B$8/(1-'설정'!$B$7/100)),-2))</f>
        <v/>
      </c>
      <c r="H4" s="20">
        <f>IF($C4="","",G4)</f>
        <v/>
      </c>
      <c r="I4" s="16">
        <f>IF($C4="","",H4*(1-'설정'!$B$7/100)-F4)</f>
        <v/>
      </c>
      <c r="J4" s="15">
        <f>IF($C4="","",IF(H4=0,0,I4/H4))</f>
        <v/>
      </c>
      <c r="K4" s="14">
        <f>IF($C4="","",IF(I4&lt;0,"⚠️손해",IF(J4&lt;'설정'!$B$9/100,"⚠️주의","✅")))</f>
        <v/>
      </c>
    </row>
    <row r="5">
      <c r="A5" s="14" t="inlineStr">
        <is>
          <t>로얄과</t>
        </is>
      </c>
      <c r="B5" s="14" t="inlineStr">
        <is>
          <t>2kg</t>
        </is>
      </c>
      <c r="C5" s="19" t="n">
        <v>6900</v>
      </c>
      <c r="D5" s="20" t="n"/>
      <c r="E5" s="21">
        <f>IF($C5="","",'설정'!$B$6)</f>
        <v/>
      </c>
      <c r="F5" s="21">
        <f>IF($C5="","",$C5+E5)</f>
        <v/>
      </c>
      <c r="G5" s="21">
        <f>IF($C5="","",ROUNDUP(MAX(N(D5),F5*'설정'!$B$8/(1-'설정'!$B$7/100)),-2))</f>
        <v/>
      </c>
      <c r="H5" s="20">
        <f>IF($C5="","",G5)</f>
        <v/>
      </c>
      <c r="I5" s="16">
        <f>IF($C5="","",H5*(1-'설정'!$B$7/100)-F5)</f>
        <v/>
      </c>
      <c r="J5" s="15">
        <f>IF($C5="","",IF(H5=0,0,I5/H5))</f>
        <v/>
      </c>
      <c r="K5" s="14">
        <f>IF($C5="","",IF(I5&lt;0,"⚠️손해",IF(J5&lt;'설정'!$B$9/100,"⚠️주의","✅")))</f>
        <v/>
      </c>
    </row>
    <row r="6">
      <c r="A6" s="14" t="inlineStr">
        <is>
          <t>로얄과</t>
        </is>
      </c>
      <c r="B6" s="14" t="inlineStr">
        <is>
          <t>3kg</t>
        </is>
      </c>
      <c r="C6" s="19" t="n">
        <v>8800</v>
      </c>
      <c r="D6" s="20" t="n"/>
      <c r="E6" s="21">
        <f>IF($C6="","",'설정'!$B$6)</f>
        <v/>
      </c>
      <c r="F6" s="21">
        <f>IF($C6="","",$C6+E6)</f>
        <v/>
      </c>
      <c r="G6" s="21">
        <f>IF($C6="","",ROUNDUP(MAX(N(D6),F6*'설정'!$B$8/(1-'설정'!$B$7/100)),-2))</f>
        <v/>
      </c>
      <c r="H6" s="20">
        <f>IF($C6="","",G6)</f>
        <v/>
      </c>
      <c r="I6" s="16">
        <f>IF($C6="","",H6*(1-'설정'!$B$7/100)-F6)</f>
        <v/>
      </c>
      <c r="J6" s="15">
        <f>IF($C6="","",IF(H6=0,0,I6/H6))</f>
        <v/>
      </c>
      <c r="K6" s="14">
        <f>IF($C6="","",IF(I6&lt;0,"⚠️손해",IF(J6&lt;'설정'!$B$9/100,"⚠️주의","✅")))</f>
        <v/>
      </c>
    </row>
    <row r="7">
      <c r="A7" s="14" t="inlineStr">
        <is>
          <t>로얄과</t>
        </is>
      </c>
      <c r="B7" s="14" t="inlineStr">
        <is>
          <t>4kg</t>
        </is>
      </c>
      <c r="C7" s="19" t="n">
        <v>11200</v>
      </c>
      <c r="D7" s="20" t="n"/>
      <c r="E7" s="21">
        <f>IF($C7="","",'설정'!$B$6)</f>
        <v/>
      </c>
      <c r="F7" s="21">
        <f>IF($C7="","",$C7+E7)</f>
        <v/>
      </c>
      <c r="G7" s="21">
        <f>IF($C7="","",ROUNDUP(MAX(N(D7),F7*'설정'!$B$8/(1-'설정'!$B$7/100)),-2))</f>
        <v/>
      </c>
      <c r="H7" s="20">
        <f>IF($C7="","",G7)</f>
        <v/>
      </c>
      <c r="I7" s="16">
        <f>IF($C7="","",H7*(1-'설정'!$B$7/100)-F7)</f>
        <v/>
      </c>
      <c r="J7" s="15">
        <f>IF($C7="","",IF(H7=0,0,I7/H7))</f>
        <v/>
      </c>
      <c r="K7" s="14">
        <f>IF($C7="","",IF(I7&lt;0,"⚠️손해",IF(J7&lt;'설정'!$B$9/100,"⚠️주의","✅")))</f>
        <v/>
      </c>
    </row>
    <row r="8">
      <c r="A8" s="14" t="inlineStr">
        <is>
          <t>로얄과</t>
        </is>
      </c>
      <c r="B8" s="14" t="inlineStr">
        <is>
          <t>5kg</t>
        </is>
      </c>
      <c r="C8" s="19" t="n">
        <v>12750</v>
      </c>
      <c r="D8" s="20" t="n"/>
      <c r="E8" s="21">
        <f>IF($C8="","",'설정'!$B$6)</f>
        <v/>
      </c>
      <c r="F8" s="21">
        <f>IF($C8="","",$C8+E8)</f>
        <v/>
      </c>
      <c r="G8" s="21">
        <f>IF($C8="","",ROUNDUP(MAX(N(D8),F8*'설정'!$B$8/(1-'설정'!$B$7/100)),-2))</f>
        <v/>
      </c>
      <c r="H8" s="20">
        <f>IF($C8="","",G8)</f>
        <v/>
      </c>
      <c r="I8" s="16">
        <f>IF($C8="","",H8*(1-'설정'!$B$7/100)-F8)</f>
        <v/>
      </c>
      <c r="J8" s="15">
        <f>IF($C8="","",IF(H8=0,0,I8/H8))</f>
        <v/>
      </c>
      <c r="K8" s="14">
        <f>IF($C8="","",IF(I8&lt;0,"⚠️손해",IF(J8&lt;'설정'!$B$9/100,"⚠️주의","✅")))</f>
        <v/>
      </c>
    </row>
    <row r="9">
      <c r="A9" s="14" t="inlineStr">
        <is>
          <t>로얄과</t>
        </is>
      </c>
      <c r="B9" s="14" t="inlineStr">
        <is>
          <t>8kg</t>
        </is>
      </c>
      <c r="C9" s="19" t="n">
        <v>18600</v>
      </c>
      <c r="D9" s="20" t="n"/>
      <c r="E9" s="21">
        <f>IF($C9="","",'설정'!$B$6)</f>
        <v/>
      </c>
      <c r="F9" s="21">
        <f>IF($C9="","",$C9+E9)</f>
        <v/>
      </c>
      <c r="G9" s="21">
        <f>IF($C9="","",ROUNDUP(MAX(N(D9),F9*'설정'!$B$8/(1-'설정'!$B$7/100)),-2))</f>
        <v/>
      </c>
      <c r="H9" s="20">
        <f>IF($C9="","",G9)</f>
        <v/>
      </c>
      <c r="I9" s="16">
        <f>IF($C9="","",H9*(1-'설정'!$B$7/100)-F9)</f>
        <v/>
      </c>
      <c r="J9" s="15">
        <f>IF($C9="","",IF(H9=0,0,I9/H9))</f>
        <v/>
      </c>
      <c r="K9" s="14">
        <f>IF($C9="","",IF(I9&lt;0,"⚠️손해",IF(J9&lt;'설정'!$B$9/100,"⚠️주의","✅")))</f>
        <v/>
      </c>
    </row>
    <row r="10">
      <c r="A10" s="14" t="inlineStr">
        <is>
          <t>로얄과</t>
        </is>
      </c>
      <c r="B10" s="14" t="inlineStr">
        <is>
          <t>10kg</t>
        </is>
      </c>
      <c r="C10" s="19" t="n">
        <v>21300</v>
      </c>
      <c r="D10" s="20" t="n"/>
      <c r="E10" s="21">
        <f>IF($C10="","",'설정'!$B$6)</f>
        <v/>
      </c>
      <c r="F10" s="21">
        <f>IF($C10="","",$C10+E10)</f>
        <v/>
      </c>
      <c r="G10" s="21">
        <f>IF($C10="","",ROUNDUP(MAX(N(D10),F10*'설정'!$B$8/(1-'설정'!$B$7/100)),-2))</f>
        <v/>
      </c>
      <c r="H10" s="20">
        <f>IF($C10="","",G10)</f>
        <v/>
      </c>
      <c r="I10" s="16">
        <f>IF($C10="","",H10*(1-'설정'!$B$7/100)-F10)</f>
        <v/>
      </c>
      <c r="J10" s="15">
        <f>IF($C10="","",IF(H10=0,0,I10/H10))</f>
        <v/>
      </c>
      <c r="K10" s="14">
        <f>IF($C10="","",IF(I10&lt;0,"⚠️손해",IF(J10&lt;'설정'!$B$9/100,"⚠️주의","✅")))</f>
        <v/>
      </c>
    </row>
  </sheetData>
  <mergeCells count="2">
    <mergeCell ref="A2:K2"/>
    <mergeCell ref="A1:K1"/>
  </mergeCells>
  <conditionalFormatting sqref="I4:J10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9" customWidth="1" min="10" max="10"/>
    <col width="9" customWidth="1" min="11" max="11"/>
  </cols>
  <sheetData>
    <row r="1" ht="24" customHeight="1">
      <c r="A1" s="1" t="inlineStr">
        <is>
          <t>🥔 홍감자 마진계산기</t>
        </is>
      </c>
    </row>
    <row r="2">
      <c r="A2" s="17" t="inlineStr">
        <is>
          <t>🟡 공급가(매입가, 택배비 포함)만 실제값으로 덮어쓰면 권장판매가·마진이 자동 계산됩니다. · 시세를 입력하면 시장가 기준으로 재계산. · 남해 등 국내산 · 롯데택배 · 연중(변동성 있음).</t>
        </is>
      </c>
    </row>
    <row r="3" ht="30" customHeight="1">
      <c r="A3" s="18" t="inlineStr">
        <is>
          <t>등급</t>
        </is>
      </c>
      <c r="B3" s="18" t="inlineStr">
        <is>
          <t>옵션(중량)</t>
        </is>
      </c>
      <c r="C3" s="18" t="inlineStr">
        <is>
          <t>공급가
(원, 택배포함) 🟡</t>
        </is>
      </c>
      <c r="D3" s="18" t="inlineStr">
        <is>
          <t>시세
(원, 선택) 🟡</t>
        </is>
      </c>
      <c r="E3" s="18" t="inlineStr">
        <is>
          <t>광고비/건</t>
        </is>
      </c>
      <c r="F3" s="18" t="inlineStr">
        <is>
          <t>변동원가</t>
        </is>
      </c>
      <c r="G3" s="18" t="inlineStr">
        <is>
          <t>권장판매가</t>
        </is>
      </c>
      <c r="H3" s="18" t="inlineStr">
        <is>
          <t>적용판매가 🟡</t>
        </is>
      </c>
      <c r="I3" s="18" t="inlineStr">
        <is>
          <t>마진(원)</t>
        </is>
      </c>
      <c r="J3" s="18" t="inlineStr">
        <is>
          <t>마진율</t>
        </is>
      </c>
      <c r="K3" s="18" t="inlineStr">
        <is>
          <t>경고</t>
        </is>
      </c>
    </row>
    <row r="4">
      <c r="A4" s="14" t="inlineStr">
        <is>
          <t>소</t>
        </is>
      </c>
      <c r="B4" s="14" t="inlineStr">
        <is>
          <t>1kg</t>
        </is>
      </c>
      <c r="C4" s="19" t="n">
        <v>4200</v>
      </c>
      <c r="D4" s="20" t="n"/>
      <c r="E4" s="21">
        <f>IF($C4="","",'설정'!$B$6)</f>
        <v/>
      </c>
      <c r="F4" s="21">
        <f>IF($C4="","",$C4+E4)</f>
        <v/>
      </c>
      <c r="G4" s="21">
        <f>IF($C4="","",ROUNDUP(MAX(N(D4),F4*'설정'!$B$8/(1-'설정'!$B$7/100)),-2))</f>
        <v/>
      </c>
      <c r="H4" s="20">
        <f>IF($C4="","",G4)</f>
        <v/>
      </c>
      <c r="I4" s="16">
        <f>IF($C4="","",H4*(1-'설정'!$B$7/100)-F4)</f>
        <v/>
      </c>
      <c r="J4" s="15">
        <f>IF($C4="","",IF(H4=0,0,I4/H4))</f>
        <v/>
      </c>
      <c r="K4" s="14">
        <f>IF($C4="","",IF(I4&lt;0,"⚠️손해",IF(J4&lt;'설정'!$B$9/100,"⚠️주의","✅")))</f>
        <v/>
      </c>
    </row>
    <row r="5">
      <c r="A5" s="14" t="inlineStr">
        <is>
          <t>소</t>
        </is>
      </c>
      <c r="B5" s="14" t="inlineStr">
        <is>
          <t>2kg</t>
        </is>
      </c>
      <c r="C5" s="19" t="n">
        <v>5500</v>
      </c>
      <c r="D5" s="20" t="n"/>
      <c r="E5" s="21">
        <f>IF($C5="","",'설정'!$B$6)</f>
        <v/>
      </c>
      <c r="F5" s="21">
        <f>IF($C5="","",$C5+E5)</f>
        <v/>
      </c>
      <c r="G5" s="21">
        <f>IF($C5="","",ROUNDUP(MAX(N(D5),F5*'설정'!$B$8/(1-'설정'!$B$7/100)),-2))</f>
        <v/>
      </c>
      <c r="H5" s="20">
        <f>IF($C5="","",G5)</f>
        <v/>
      </c>
      <c r="I5" s="16">
        <f>IF($C5="","",H5*(1-'설정'!$B$7/100)-F5)</f>
        <v/>
      </c>
      <c r="J5" s="15">
        <f>IF($C5="","",IF(H5=0,0,I5/H5))</f>
        <v/>
      </c>
      <c r="K5" s="14">
        <f>IF($C5="","",IF(I5&lt;0,"⚠️손해",IF(J5&lt;'설정'!$B$9/100,"⚠️주의","✅")))</f>
        <v/>
      </c>
    </row>
    <row r="6">
      <c r="A6" s="14" t="inlineStr">
        <is>
          <t>소</t>
        </is>
      </c>
      <c r="B6" s="14" t="inlineStr">
        <is>
          <t>3kg</t>
        </is>
      </c>
      <c r="C6" s="19" t="n">
        <v>6600</v>
      </c>
      <c r="D6" s="20" t="n"/>
      <c r="E6" s="21">
        <f>IF($C6="","",'설정'!$B$6)</f>
        <v/>
      </c>
      <c r="F6" s="21">
        <f>IF($C6="","",$C6+E6)</f>
        <v/>
      </c>
      <c r="G6" s="21">
        <f>IF($C6="","",ROUNDUP(MAX(N(D6),F6*'설정'!$B$8/(1-'설정'!$B$7/100)),-2))</f>
        <v/>
      </c>
      <c r="H6" s="20">
        <f>IF($C6="","",G6)</f>
        <v/>
      </c>
      <c r="I6" s="16">
        <f>IF($C6="","",H6*(1-'설정'!$B$7/100)-F6)</f>
        <v/>
      </c>
      <c r="J6" s="15">
        <f>IF($C6="","",IF(H6=0,0,I6/H6))</f>
        <v/>
      </c>
      <c r="K6" s="14">
        <f>IF($C6="","",IF(I6&lt;0,"⚠️손해",IF(J6&lt;'설정'!$B$9/100,"⚠️주의","✅")))</f>
        <v/>
      </c>
    </row>
    <row r="7">
      <c r="A7" s="14" t="inlineStr">
        <is>
          <t>소</t>
        </is>
      </c>
      <c r="B7" s="14" t="inlineStr">
        <is>
          <t>5kg</t>
        </is>
      </c>
      <c r="C7" s="19" t="n">
        <v>9500</v>
      </c>
      <c r="D7" s="20" t="n"/>
      <c r="E7" s="21">
        <f>IF($C7="","",'설정'!$B$6)</f>
        <v/>
      </c>
      <c r="F7" s="21">
        <f>IF($C7="","",$C7+E7)</f>
        <v/>
      </c>
      <c r="G7" s="21">
        <f>IF($C7="","",ROUNDUP(MAX(N(D7),F7*'설정'!$B$8/(1-'설정'!$B$7/100)),-2))</f>
        <v/>
      </c>
      <c r="H7" s="20">
        <f>IF($C7="","",G7)</f>
        <v/>
      </c>
      <c r="I7" s="16">
        <f>IF($C7="","",H7*(1-'설정'!$B$7/100)-F7)</f>
        <v/>
      </c>
      <c r="J7" s="15">
        <f>IF($C7="","",IF(H7=0,0,I7/H7))</f>
        <v/>
      </c>
      <c r="K7" s="14">
        <f>IF($C7="","",IF(I7&lt;0,"⚠️손해",IF(J7&lt;'설정'!$B$9/100,"⚠️주의","✅")))</f>
        <v/>
      </c>
    </row>
    <row r="8">
      <c r="A8" s="14" t="inlineStr">
        <is>
          <t>중</t>
        </is>
      </c>
      <c r="B8" s="14" t="inlineStr">
        <is>
          <t>1kg</t>
        </is>
      </c>
      <c r="C8" s="19" t="n">
        <v>4300</v>
      </c>
      <c r="D8" s="20" t="n"/>
      <c r="E8" s="21">
        <f>IF($C8="","",'설정'!$B$6)</f>
        <v/>
      </c>
      <c r="F8" s="21">
        <f>IF($C8="","",$C8+E8)</f>
        <v/>
      </c>
      <c r="G8" s="21">
        <f>IF($C8="","",ROUNDUP(MAX(N(D8),F8*'설정'!$B$8/(1-'설정'!$B$7/100)),-2))</f>
        <v/>
      </c>
      <c r="H8" s="20">
        <f>IF($C8="","",G8)</f>
        <v/>
      </c>
      <c r="I8" s="16">
        <f>IF($C8="","",H8*(1-'설정'!$B$7/100)-F8)</f>
        <v/>
      </c>
      <c r="J8" s="15">
        <f>IF($C8="","",IF(H8=0,0,I8/H8))</f>
        <v/>
      </c>
      <c r="K8" s="14">
        <f>IF($C8="","",IF(I8&lt;0,"⚠️손해",IF(J8&lt;'설정'!$B$9/100,"⚠️주의","✅")))</f>
        <v/>
      </c>
    </row>
    <row r="9">
      <c r="A9" s="14" t="inlineStr">
        <is>
          <t>중</t>
        </is>
      </c>
      <c r="B9" s="14" t="inlineStr">
        <is>
          <t>2kg</t>
        </is>
      </c>
      <c r="C9" s="19" t="n">
        <v>5700</v>
      </c>
      <c r="D9" s="20" t="n"/>
      <c r="E9" s="21">
        <f>IF($C9="","",'설정'!$B$6)</f>
        <v/>
      </c>
      <c r="F9" s="21">
        <f>IF($C9="","",$C9+E9)</f>
        <v/>
      </c>
      <c r="G9" s="21">
        <f>IF($C9="","",ROUNDUP(MAX(N(D9),F9*'설정'!$B$8/(1-'설정'!$B$7/100)),-2))</f>
        <v/>
      </c>
      <c r="H9" s="20">
        <f>IF($C9="","",G9)</f>
        <v/>
      </c>
      <c r="I9" s="16">
        <f>IF($C9="","",H9*(1-'설정'!$B$7/100)-F9)</f>
        <v/>
      </c>
      <c r="J9" s="15">
        <f>IF($C9="","",IF(H9=0,0,I9/H9))</f>
        <v/>
      </c>
      <c r="K9" s="14">
        <f>IF($C9="","",IF(I9&lt;0,"⚠️손해",IF(J9&lt;'설정'!$B$9/100,"⚠️주의","✅")))</f>
        <v/>
      </c>
    </row>
    <row r="10">
      <c r="A10" s="14" t="inlineStr">
        <is>
          <t>중</t>
        </is>
      </c>
      <c r="B10" s="14" t="inlineStr">
        <is>
          <t>3kg</t>
        </is>
      </c>
      <c r="C10" s="19" t="n">
        <v>6900</v>
      </c>
      <c r="D10" s="20" t="n"/>
      <c r="E10" s="21">
        <f>IF($C10="","",'설정'!$B$6)</f>
        <v/>
      </c>
      <c r="F10" s="21">
        <f>IF($C10="","",$C10+E10)</f>
        <v/>
      </c>
      <c r="G10" s="21">
        <f>IF($C10="","",ROUNDUP(MAX(N(D10),F10*'설정'!$B$8/(1-'설정'!$B$7/100)),-2))</f>
        <v/>
      </c>
      <c r="H10" s="20">
        <f>IF($C10="","",G10)</f>
        <v/>
      </c>
      <c r="I10" s="16">
        <f>IF($C10="","",H10*(1-'설정'!$B$7/100)-F10)</f>
        <v/>
      </c>
      <c r="J10" s="15">
        <f>IF($C10="","",IF(H10=0,0,I10/H10))</f>
        <v/>
      </c>
      <c r="K10" s="14">
        <f>IF($C10="","",IF(I10&lt;0,"⚠️손해",IF(J10&lt;'설정'!$B$9/100,"⚠️주의","✅")))</f>
        <v/>
      </c>
    </row>
    <row r="11">
      <c r="A11" s="14" t="inlineStr">
        <is>
          <t>중</t>
        </is>
      </c>
      <c r="B11" s="14" t="inlineStr">
        <is>
          <t>5kg</t>
        </is>
      </c>
      <c r="C11" s="19" t="n">
        <v>10000</v>
      </c>
      <c r="D11" s="20" t="n"/>
      <c r="E11" s="21">
        <f>IF($C11="","",'설정'!$B$6)</f>
        <v/>
      </c>
      <c r="F11" s="21">
        <f>IF($C11="","",$C11+E11)</f>
        <v/>
      </c>
      <c r="G11" s="21">
        <f>IF($C11="","",ROUNDUP(MAX(N(D11),F11*'설정'!$B$8/(1-'설정'!$B$7/100)),-2))</f>
        <v/>
      </c>
      <c r="H11" s="20">
        <f>IF($C11="","",G11)</f>
        <v/>
      </c>
      <c r="I11" s="16">
        <f>IF($C11="","",H11*(1-'설정'!$B$7/100)-F11)</f>
        <v/>
      </c>
      <c r="J11" s="15">
        <f>IF($C11="","",IF(H11=0,0,I11/H11))</f>
        <v/>
      </c>
      <c r="K11" s="14">
        <f>IF($C11="","",IF(I11&lt;0,"⚠️손해",IF(J11&lt;'설정'!$B$9/100,"⚠️주의","✅")))</f>
        <v/>
      </c>
    </row>
    <row r="12">
      <c r="A12" s="14" t="inlineStr">
        <is>
          <t>대</t>
        </is>
      </c>
      <c r="B12" s="14" t="inlineStr">
        <is>
          <t>1kg</t>
        </is>
      </c>
      <c r="C12" s="19" t="n">
        <v>5300</v>
      </c>
      <c r="D12" s="20" t="n"/>
      <c r="E12" s="21">
        <f>IF($C12="","",'설정'!$B$6)</f>
        <v/>
      </c>
      <c r="F12" s="21">
        <f>IF($C12="","",$C12+E12)</f>
        <v/>
      </c>
      <c r="G12" s="21">
        <f>IF($C12="","",ROUNDUP(MAX(N(D12),F12*'설정'!$B$8/(1-'설정'!$B$7/100)),-2))</f>
        <v/>
      </c>
      <c r="H12" s="20">
        <f>IF($C12="","",G12)</f>
        <v/>
      </c>
      <c r="I12" s="16">
        <f>IF($C12="","",H12*(1-'설정'!$B$7/100)-F12)</f>
        <v/>
      </c>
      <c r="J12" s="15">
        <f>IF($C12="","",IF(H12=0,0,I12/H12))</f>
        <v/>
      </c>
      <c r="K12" s="14">
        <f>IF($C12="","",IF(I12&lt;0,"⚠️손해",IF(J12&lt;'설정'!$B$9/100,"⚠️주의","✅")))</f>
        <v/>
      </c>
    </row>
    <row r="13">
      <c r="A13" s="14" t="inlineStr">
        <is>
          <t>대</t>
        </is>
      </c>
      <c r="B13" s="14" t="inlineStr">
        <is>
          <t>2kg</t>
        </is>
      </c>
      <c r="C13" s="19" t="n">
        <v>6900</v>
      </c>
      <c r="D13" s="20" t="n"/>
      <c r="E13" s="21">
        <f>IF($C13="","",'설정'!$B$6)</f>
        <v/>
      </c>
      <c r="F13" s="21">
        <f>IF($C13="","",$C13+E13)</f>
        <v/>
      </c>
      <c r="G13" s="21">
        <f>IF($C13="","",ROUNDUP(MAX(N(D13),F13*'설정'!$B$8/(1-'설정'!$B$7/100)),-2))</f>
        <v/>
      </c>
      <c r="H13" s="20">
        <f>IF($C13="","",G13)</f>
        <v/>
      </c>
      <c r="I13" s="16">
        <f>IF($C13="","",H13*(1-'설정'!$B$7/100)-F13)</f>
        <v/>
      </c>
      <c r="J13" s="15">
        <f>IF($C13="","",IF(H13=0,0,I13/H13))</f>
        <v/>
      </c>
      <c r="K13" s="14">
        <f>IF($C13="","",IF(I13&lt;0,"⚠️손해",IF(J13&lt;'설정'!$B$9/100,"⚠️주의","✅")))</f>
        <v/>
      </c>
    </row>
    <row r="14">
      <c r="A14" s="14" t="inlineStr">
        <is>
          <t>대</t>
        </is>
      </c>
      <c r="B14" s="14" t="inlineStr">
        <is>
          <t>3kg</t>
        </is>
      </c>
      <c r="C14" s="19" t="n">
        <v>8400</v>
      </c>
      <c r="D14" s="20" t="n"/>
      <c r="E14" s="21">
        <f>IF($C14="","",'설정'!$B$6)</f>
        <v/>
      </c>
      <c r="F14" s="21">
        <f>IF($C14="","",$C14+E14)</f>
        <v/>
      </c>
      <c r="G14" s="21">
        <f>IF($C14="","",ROUNDUP(MAX(N(D14),F14*'설정'!$B$8/(1-'설정'!$B$7/100)),-2))</f>
        <v/>
      </c>
      <c r="H14" s="20">
        <f>IF($C14="","",G14)</f>
        <v/>
      </c>
      <c r="I14" s="16">
        <f>IF($C14="","",H14*(1-'설정'!$B$7/100)-F14)</f>
        <v/>
      </c>
      <c r="J14" s="15">
        <f>IF($C14="","",IF(H14=0,0,I14/H14))</f>
        <v/>
      </c>
      <c r="K14" s="14">
        <f>IF($C14="","",IF(I14&lt;0,"⚠️손해",IF(J14&lt;'설정'!$B$9/100,"⚠️주의","✅")))</f>
        <v/>
      </c>
    </row>
    <row r="15">
      <c r="A15" s="14" t="inlineStr">
        <is>
          <t>대</t>
        </is>
      </c>
      <c r="B15" s="14" t="inlineStr">
        <is>
          <t>5kg</t>
        </is>
      </c>
      <c r="C15" s="19" t="n">
        <v>12500</v>
      </c>
      <c r="D15" s="20" t="n"/>
      <c r="E15" s="21">
        <f>IF($C15="","",'설정'!$B$6)</f>
        <v/>
      </c>
      <c r="F15" s="21">
        <f>IF($C15="","",$C15+E15)</f>
        <v/>
      </c>
      <c r="G15" s="21">
        <f>IF($C15="","",ROUNDUP(MAX(N(D15),F15*'설정'!$B$8/(1-'설정'!$B$7/100)),-2))</f>
        <v/>
      </c>
      <c r="H15" s="20">
        <f>IF($C15="","",G15)</f>
        <v/>
      </c>
      <c r="I15" s="16">
        <f>IF($C15="","",H15*(1-'설정'!$B$7/100)-F15)</f>
        <v/>
      </c>
      <c r="J15" s="15">
        <f>IF($C15="","",IF(H15=0,0,I15/H15))</f>
        <v/>
      </c>
      <c r="K15" s="14">
        <f>IF($C15="","",IF(I15&lt;0,"⚠️손해",IF(J15&lt;'설정'!$B$9/100,"⚠️주의","✅")))</f>
        <v/>
      </c>
    </row>
    <row r="16">
      <c r="A16" s="14" t="inlineStr">
        <is>
          <t>특</t>
        </is>
      </c>
      <c r="B16" s="14" t="inlineStr">
        <is>
          <t>1kg</t>
        </is>
      </c>
      <c r="C16" s="19" t="n">
        <v>6000</v>
      </c>
      <c r="D16" s="20" t="n"/>
      <c r="E16" s="21">
        <f>IF($C16="","",'설정'!$B$6)</f>
        <v/>
      </c>
      <c r="F16" s="21">
        <f>IF($C16="","",$C16+E16)</f>
        <v/>
      </c>
      <c r="G16" s="21">
        <f>IF($C16="","",ROUNDUP(MAX(N(D16),F16*'설정'!$B$8/(1-'설정'!$B$7/100)),-2))</f>
        <v/>
      </c>
      <c r="H16" s="20">
        <f>IF($C16="","",G16)</f>
        <v/>
      </c>
      <c r="I16" s="16">
        <f>IF($C16="","",H16*(1-'설정'!$B$7/100)-F16)</f>
        <v/>
      </c>
      <c r="J16" s="15">
        <f>IF($C16="","",IF(H16=0,0,I16/H16))</f>
        <v/>
      </c>
      <c r="K16" s="14">
        <f>IF($C16="","",IF(I16&lt;0,"⚠️손해",IF(J16&lt;'설정'!$B$9/100,"⚠️주의","✅")))</f>
        <v/>
      </c>
    </row>
    <row r="17">
      <c r="A17" s="14" t="inlineStr">
        <is>
          <t>특</t>
        </is>
      </c>
      <c r="B17" s="14" t="inlineStr">
        <is>
          <t>2kg</t>
        </is>
      </c>
      <c r="C17" s="19" t="n">
        <v>8300</v>
      </c>
      <c r="D17" s="20" t="n"/>
      <c r="E17" s="21">
        <f>IF($C17="","",'설정'!$B$6)</f>
        <v/>
      </c>
      <c r="F17" s="21">
        <f>IF($C17="","",$C17+E17)</f>
        <v/>
      </c>
      <c r="G17" s="21">
        <f>IF($C17="","",ROUNDUP(MAX(N(D17),F17*'설정'!$B$8/(1-'설정'!$B$7/100)),-2))</f>
        <v/>
      </c>
      <c r="H17" s="20">
        <f>IF($C17="","",G17)</f>
        <v/>
      </c>
      <c r="I17" s="16">
        <f>IF($C17="","",H17*(1-'설정'!$B$7/100)-F17)</f>
        <v/>
      </c>
      <c r="J17" s="15">
        <f>IF($C17="","",IF(H17=0,0,I17/H17))</f>
        <v/>
      </c>
      <c r="K17" s="14">
        <f>IF($C17="","",IF(I17&lt;0,"⚠️손해",IF(J17&lt;'설정'!$B$9/100,"⚠️주의","✅")))</f>
        <v/>
      </c>
    </row>
    <row r="18">
      <c r="A18" s="14" t="inlineStr">
        <is>
          <t>특</t>
        </is>
      </c>
      <c r="B18" s="14" t="inlineStr">
        <is>
          <t>3kg</t>
        </is>
      </c>
      <c r="C18" s="19" t="n">
        <v>10500</v>
      </c>
      <c r="D18" s="20" t="n"/>
      <c r="E18" s="21">
        <f>IF($C18="","",'설정'!$B$6)</f>
        <v/>
      </c>
      <c r="F18" s="21">
        <f>IF($C18="","",$C18+E18)</f>
        <v/>
      </c>
      <c r="G18" s="21">
        <f>IF($C18="","",ROUNDUP(MAX(N(D18),F18*'설정'!$B$8/(1-'설정'!$B$7/100)),-2))</f>
        <v/>
      </c>
      <c r="H18" s="20">
        <f>IF($C18="","",G18)</f>
        <v/>
      </c>
      <c r="I18" s="16">
        <f>IF($C18="","",H18*(1-'설정'!$B$7/100)-F18)</f>
        <v/>
      </c>
      <c r="J18" s="15">
        <f>IF($C18="","",IF(H18=0,0,I18/H18))</f>
        <v/>
      </c>
      <c r="K18" s="14">
        <f>IF($C18="","",IF(I18&lt;0,"⚠️손해",IF(J18&lt;'설정'!$B$9/100,"⚠️주의","✅")))</f>
        <v/>
      </c>
    </row>
    <row r="19">
      <c r="A19" s="14" t="inlineStr">
        <is>
          <t>특</t>
        </is>
      </c>
      <c r="B19" s="14" t="inlineStr">
        <is>
          <t>5kg</t>
        </is>
      </c>
      <c r="C19" s="19" t="n">
        <v>15500</v>
      </c>
      <c r="D19" s="20" t="n"/>
      <c r="E19" s="21">
        <f>IF($C19="","",'설정'!$B$6)</f>
        <v/>
      </c>
      <c r="F19" s="21">
        <f>IF($C19="","",$C19+E19)</f>
        <v/>
      </c>
      <c r="G19" s="21">
        <f>IF($C19="","",ROUNDUP(MAX(N(D19),F19*'설정'!$B$8/(1-'설정'!$B$7/100)),-2))</f>
        <v/>
      </c>
      <c r="H19" s="20">
        <f>IF($C19="","",G19)</f>
        <v/>
      </c>
      <c r="I19" s="16">
        <f>IF($C19="","",H19*(1-'설정'!$B$7/100)-F19)</f>
        <v/>
      </c>
      <c r="J19" s="15">
        <f>IF($C19="","",IF(H19=0,0,I19/H19))</f>
        <v/>
      </c>
      <c r="K19" s="14">
        <f>IF($C19="","",IF(I19&lt;0,"⚠️손해",IF(J19&lt;'설정'!$B$9/100,"⚠️주의","✅")))</f>
        <v/>
      </c>
    </row>
    <row r="20">
      <c r="A20" s="14" t="inlineStr">
        <is>
          <t>왕특</t>
        </is>
      </c>
      <c r="B20" s="14" t="inlineStr">
        <is>
          <t>1kg</t>
        </is>
      </c>
      <c r="C20" s="19" t="n">
        <v>6300</v>
      </c>
      <c r="D20" s="20" t="n"/>
      <c r="E20" s="21">
        <f>IF($C20="","",'설정'!$B$6)</f>
        <v/>
      </c>
      <c r="F20" s="21">
        <f>IF($C20="","",$C20+E20)</f>
        <v/>
      </c>
      <c r="G20" s="21">
        <f>IF($C20="","",ROUNDUP(MAX(N(D20),F20*'설정'!$B$8/(1-'설정'!$B$7/100)),-2))</f>
        <v/>
      </c>
      <c r="H20" s="20">
        <f>IF($C20="","",G20)</f>
        <v/>
      </c>
      <c r="I20" s="16">
        <f>IF($C20="","",H20*(1-'설정'!$B$7/100)-F20)</f>
        <v/>
      </c>
      <c r="J20" s="15">
        <f>IF($C20="","",IF(H20=0,0,I20/H20))</f>
        <v/>
      </c>
      <c r="K20" s="14">
        <f>IF($C20="","",IF(I20&lt;0,"⚠️손해",IF(J20&lt;'설정'!$B$9/100,"⚠️주의","✅")))</f>
        <v/>
      </c>
    </row>
    <row r="21">
      <c r="A21" s="14" t="inlineStr">
        <is>
          <t>왕특</t>
        </is>
      </c>
      <c r="B21" s="14" t="inlineStr">
        <is>
          <t>2kg</t>
        </is>
      </c>
      <c r="C21" s="19" t="n">
        <v>8800</v>
      </c>
      <c r="D21" s="20" t="n"/>
      <c r="E21" s="21">
        <f>IF($C21="","",'설정'!$B$6)</f>
        <v/>
      </c>
      <c r="F21" s="21">
        <f>IF($C21="","",$C21+E21)</f>
        <v/>
      </c>
      <c r="G21" s="21">
        <f>IF($C21="","",ROUNDUP(MAX(N(D21),F21*'설정'!$B$8/(1-'설정'!$B$7/100)),-2))</f>
        <v/>
      </c>
      <c r="H21" s="20">
        <f>IF($C21="","",G21)</f>
        <v/>
      </c>
      <c r="I21" s="16">
        <f>IF($C21="","",H21*(1-'설정'!$B$7/100)-F21)</f>
        <v/>
      </c>
      <c r="J21" s="15">
        <f>IF($C21="","",IF(H21=0,0,I21/H21))</f>
        <v/>
      </c>
      <c r="K21" s="14">
        <f>IF($C21="","",IF(I21&lt;0,"⚠️손해",IF(J21&lt;'설정'!$B$9/100,"⚠️주의","✅")))</f>
        <v/>
      </c>
    </row>
    <row r="22">
      <c r="A22" s="14" t="inlineStr">
        <is>
          <t>왕특</t>
        </is>
      </c>
      <c r="B22" s="14" t="inlineStr">
        <is>
          <t>3kg</t>
        </is>
      </c>
      <c r="C22" s="19" t="n">
        <v>11700</v>
      </c>
      <c r="D22" s="20" t="n"/>
      <c r="E22" s="21">
        <f>IF($C22="","",'설정'!$B$6)</f>
        <v/>
      </c>
      <c r="F22" s="21">
        <f>IF($C22="","",$C22+E22)</f>
        <v/>
      </c>
      <c r="G22" s="21">
        <f>IF($C22="","",ROUNDUP(MAX(N(D22),F22*'설정'!$B$8/(1-'설정'!$B$7/100)),-2))</f>
        <v/>
      </c>
      <c r="H22" s="20">
        <f>IF($C22="","",G22)</f>
        <v/>
      </c>
      <c r="I22" s="16">
        <f>IF($C22="","",H22*(1-'설정'!$B$7/100)-F22)</f>
        <v/>
      </c>
      <c r="J22" s="15">
        <f>IF($C22="","",IF(H22=0,0,I22/H22))</f>
        <v/>
      </c>
      <c r="K22" s="14">
        <f>IF($C22="","",IF(I22&lt;0,"⚠️손해",IF(J22&lt;'설정'!$B$9/100,"⚠️주의","✅")))</f>
        <v/>
      </c>
    </row>
    <row r="23">
      <c r="A23" s="14" t="inlineStr">
        <is>
          <t>왕특</t>
        </is>
      </c>
      <c r="B23" s="14" t="inlineStr">
        <is>
          <t>5kg</t>
        </is>
      </c>
      <c r="C23" s="19" t="n">
        <v>18000</v>
      </c>
      <c r="D23" s="20" t="n"/>
      <c r="E23" s="21">
        <f>IF($C23="","",'설정'!$B$6)</f>
        <v/>
      </c>
      <c r="F23" s="21">
        <f>IF($C23="","",$C23+E23)</f>
        <v/>
      </c>
      <c r="G23" s="21">
        <f>IF($C23="","",ROUNDUP(MAX(N(D23),F23*'설정'!$B$8/(1-'설정'!$B$7/100)),-2))</f>
        <v/>
      </c>
      <c r="H23" s="20">
        <f>IF($C23="","",G23)</f>
        <v/>
      </c>
      <c r="I23" s="16">
        <f>IF($C23="","",H23*(1-'설정'!$B$7/100)-F23)</f>
        <v/>
      </c>
      <c r="J23" s="15">
        <f>IF($C23="","",IF(H23=0,0,I23/H23))</f>
        <v/>
      </c>
      <c r="K23" s="14">
        <f>IF($C23="","",IF(I23&lt;0,"⚠️손해",IF(J23&lt;'설정'!$B$9/100,"⚠️주의","✅")))</f>
        <v/>
      </c>
    </row>
  </sheetData>
  <mergeCells count="2">
    <mergeCell ref="A2:K2"/>
    <mergeCell ref="A1:K1"/>
  </mergeCells>
  <conditionalFormatting sqref="I4:J2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9" customWidth="1" min="10" max="10"/>
    <col width="9" customWidth="1" min="11" max="11"/>
  </cols>
  <sheetData>
    <row r="1" ht="24" customHeight="1">
      <c r="A1" s="1" t="inlineStr">
        <is>
          <t>🥬 콜라비 마진계산기</t>
        </is>
      </c>
    </row>
    <row r="2">
      <c r="A2" s="17" t="inlineStr">
        <is>
          <t>🟡 공급가를 받으면 등급·옵션·공급가만 입력하세요. 나머지는 자동 계산됩니다. (현재 공급가 미수령)</t>
        </is>
      </c>
    </row>
    <row r="3" ht="30" customHeight="1">
      <c r="A3" s="18" t="inlineStr">
        <is>
          <t>등급</t>
        </is>
      </c>
      <c r="B3" s="18" t="inlineStr">
        <is>
          <t>옵션(중량)</t>
        </is>
      </c>
      <c r="C3" s="18" t="inlineStr">
        <is>
          <t>공급가
(원, 택배포함) 🟡</t>
        </is>
      </c>
      <c r="D3" s="18" t="inlineStr">
        <is>
          <t>시세
(원, 선택) 🟡</t>
        </is>
      </c>
      <c r="E3" s="18" t="inlineStr">
        <is>
          <t>광고비/건</t>
        </is>
      </c>
      <c r="F3" s="18" t="inlineStr">
        <is>
          <t>변동원가</t>
        </is>
      </c>
      <c r="G3" s="18" t="inlineStr">
        <is>
          <t>권장판매가</t>
        </is>
      </c>
      <c r="H3" s="18" t="inlineStr">
        <is>
          <t>적용판매가 🟡</t>
        </is>
      </c>
      <c r="I3" s="18" t="inlineStr">
        <is>
          <t>마진(원)</t>
        </is>
      </c>
      <c r="J3" s="18" t="inlineStr">
        <is>
          <t>마진율</t>
        </is>
      </c>
      <c r="K3" s="18" t="inlineStr">
        <is>
          <t>경고</t>
        </is>
      </c>
    </row>
    <row r="4">
      <c r="A4" s="14" t="inlineStr"/>
      <c r="B4" s="14" t="inlineStr"/>
      <c r="C4" s="19" t="n"/>
      <c r="D4" s="20" t="n"/>
      <c r="E4" s="21">
        <f>IF($C4="","",'설정'!$B$6)</f>
        <v/>
      </c>
      <c r="F4" s="21">
        <f>IF($C4="","",$C4+E4)</f>
        <v/>
      </c>
      <c r="G4" s="21">
        <f>IF($C4="","",ROUNDUP(MAX(N(D4),F4*'설정'!$B$8/(1-'설정'!$B$7/100)),-2))</f>
        <v/>
      </c>
      <c r="H4" s="20">
        <f>IF($C4="","",G4)</f>
        <v/>
      </c>
      <c r="I4" s="16">
        <f>IF($C4="","",H4*(1-'설정'!$B$7/100)-F4)</f>
        <v/>
      </c>
      <c r="J4" s="15">
        <f>IF($C4="","",IF(H4=0,0,I4/H4))</f>
        <v/>
      </c>
      <c r="K4" s="14">
        <f>IF($C4="","",IF(I4&lt;0,"⚠️손해",IF(J4&lt;'설정'!$B$9/100,"⚠️주의","✅")))</f>
        <v/>
      </c>
    </row>
    <row r="5">
      <c r="A5" s="14" t="inlineStr"/>
      <c r="B5" s="14" t="inlineStr"/>
      <c r="C5" s="19" t="n"/>
      <c r="D5" s="20" t="n"/>
      <c r="E5" s="21">
        <f>IF($C5="","",'설정'!$B$6)</f>
        <v/>
      </c>
      <c r="F5" s="21">
        <f>IF($C5="","",$C5+E5)</f>
        <v/>
      </c>
      <c r="G5" s="21">
        <f>IF($C5="","",ROUNDUP(MAX(N(D5),F5*'설정'!$B$8/(1-'설정'!$B$7/100)),-2))</f>
        <v/>
      </c>
      <c r="H5" s="20">
        <f>IF($C5="","",G5)</f>
        <v/>
      </c>
      <c r="I5" s="16">
        <f>IF($C5="","",H5*(1-'설정'!$B$7/100)-F5)</f>
        <v/>
      </c>
      <c r="J5" s="15">
        <f>IF($C5="","",IF(H5=0,0,I5/H5))</f>
        <v/>
      </c>
      <c r="K5" s="14">
        <f>IF($C5="","",IF(I5&lt;0,"⚠️손해",IF(J5&lt;'설정'!$B$9/100,"⚠️주의","✅")))</f>
        <v/>
      </c>
    </row>
    <row r="6">
      <c r="A6" s="14" t="inlineStr"/>
      <c r="B6" s="14" t="inlineStr"/>
      <c r="C6" s="19" t="n"/>
      <c r="D6" s="20" t="n"/>
      <c r="E6" s="21">
        <f>IF($C6="","",'설정'!$B$6)</f>
        <v/>
      </c>
      <c r="F6" s="21">
        <f>IF($C6="","",$C6+E6)</f>
        <v/>
      </c>
      <c r="G6" s="21">
        <f>IF($C6="","",ROUNDUP(MAX(N(D6),F6*'설정'!$B$8/(1-'설정'!$B$7/100)),-2))</f>
        <v/>
      </c>
      <c r="H6" s="20">
        <f>IF($C6="","",G6)</f>
        <v/>
      </c>
      <c r="I6" s="16">
        <f>IF($C6="","",H6*(1-'설정'!$B$7/100)-F6)</f>
        <v/>
      </c>
      <c r="J6" s="15">
        <f>IF($C6="","",IF(H6=0,0,I6/H6))</f>
        <v/>
      </c>
      <c r="K6" s="14">
        <f>IF($C6="","",IF(I6&lt;0,"⚠️손해",IF(J6&lt;'설정'!$B$9/100,"⚠️주의","✅")))</f>
        <v/>
      </c>
    </row>
    <row r="7">
      <c r="A7" s="14" t="inlineStr"/>
      <c r="B7" s="14" t="inlineStr"/>
      <c r="C7" s="19" t="n"/>
      <c r="D7" s="20" t="n"/>
      <c r="E7" s="21">
        <f>IF($C7="","",'설정'!$B$6)</f>
        <v/>
      </c>
      <c r="F7" s="21">
        <f>IF($C7="","",$C7+E7)</f>
        <v/>
      </c>
      <c r="G7" s="21">
        <f>IF($C7="","",ROUNDUP(MAX(N(D7),F7*'설정'!$B$8/(1-'설정'!$B$7/100)),-2))</f>
        <v/>
      </c>
      <c r="H7" s="20">
        <f>IF($C7="","",G7)</f>
        <v/>
      </c>
      <c r="I7" s="16">
        <f>IF($C7="","",H7*(1-'설정'!$B$7/100)-F7)</f>
        <v/>
      </c>
      <c r="J7" s="15">
        <f>IF($C7="","",IF(H7=0,0,I7/H7))</f>
        <v/>
      </c>
      <c r="K7" s="14">
        <f>IF($C7="","",IF(I7&lt;0,"⚠️손해",IF(J7&lt;'설정'!$B$9/100,"⚠️주의","✅")))</f>
        <v/>
      </c>
    </row>
    <row r="8">
      <c r="A8" s="14" t="inlineStr"/>
      <c r="B8" s="14" t="inlineStr"/>
      <c r="C8" s="19" t="n"/>
      <c r="D8" s="20" t="n"/>
      <c r="E8" s="21">
        <f>IF($C8="","",'설정'!$B$6)</f>
        <v/>
      </c>
      <c r="F8" s="21">
        <f>IF($C8="","",$C8+E8)</f>
        <v/>
      </c>
      <c r="G8" s="21">
        <f>IF($C8="","",ROUNDUP(MAX(N(D8),F8*'설정'!$B$8/(1-'설정'!$B$7/100)),-2))</f>
        <v/>
      </c>
      <c r="H8" s="20">
        <f>IF($C8="","",G8)</f>
        <v/>
      </c>
      <c r="I8" s="16">
        <f>IF($C8="","",H8*(1-'설정'!$B$7/100)-F8)</f>
        <v/>
      </c>
      <c r="J8" s="15">
        <f>IF($C8="","",IF(H8=0,0,I8/H8))</f>
        <v/>
      </c>
      <c r="K8" s="14">
        <f>IF($C8="","",IF(I8&lt;0,"⚠️손해",IF(J8&lt;'설정'!$B$9/100,"⚠️주의","✅")))</f>
        <v/>
      </c>
    </row>
    <row r="9">
      <c r="A9" s="14" t="inlineStr"/>
      <c r="B9" s="14" t="inlineStr"/>
      <c r="C9" s="19" t="n"/>
      <c r="D9" s="20" t="n"/>
      <c r="E9" s="21">
        <f>IF($C9="","",'설정'!$B$6)</f>
        <v/>
      </c>
      <c r="F9" s="21">
        <f>IF($C9="","",$C9+E9)</f>
        <v/>
      </c>
      <c r="G9" s="21">
        <f>IF($C9="","",ROUNDUP(MAX(N(D9),F9*'설정'!$B$8/(1-'설정'!$B$7/100)),-2))</f>
        <v/>
      </c>
      <c r="H9" s="20">
        <f>IF($C9="","",G9)</f>
        <v/>
      </c>
      <c r="I9" s="16">
        <f>IF($C9="","",H9*(1-'설정'!$B$7/100)-F9)</f>
        <v/>
      </c>
      <c r="J9" s="15">
        <f>IF($C9="","",IF(H9=0,0,I9/H9))</f>
        <v/>
      </c>
      <c r="K9" s="14">
        <f>IF($C9="","",IF(I9&lt;0,"⚠️손해",IF(J9&lt;'설정'!$B$9/100,"⚠️주의","✅")))</f>
        <v/>
      </c>
    </row>
    <row r="10">
      <c r="A10" s="14" t="inlineStr"/>
      <c r="B10" s="14" t="inlineStr"/>
      <c r="C10" s="19" t="n"/>
      <c r="D10" s="20" t="n"/>
      <c r="E10" s="21">
        <f>IF($C10="","",'설정'!$B$6)</f>
        <v/>
      </c>
      <c r="F10" s="21">
        <f>IF($C10="","",$C10+E10)</f>
        <v/>
      </c>
      <c r="G10" s="21">
        <f>IF($C10="","",ROUNDUP(MAX(N(D10),F10*'설정'!$B$8/(1-'설정'!$B$7/100)),-2))</f>
        <v/>
      </c>
      <c r="H10" s="20">
        <f>IF($C10="","",G10)</f>
        <v/>
      </c>
      <c r="I10" s="16">
        <f>IF($C10="","",H10*(1-'설정'!$B$7/100)-F10)</f>
        <v/>
      </c>
      <c r="J10" s="15">
        <f>IF($C10="","",IF(H10=0,0,I10/H10))</f>
        <v/>
      </c>
      <c r="K10" s="14">
        <f>IF($C10="","",IF(I10&lt;0,"⚠️손해",IF(J10&lt;'설정'!$B$9/100,"⚠️주의","✅")))</f>
        <v/>
      </c>
    </row>
    <row r="11">
      <c r="A11" s="14" t="inlineStr"/>
      <c r="B11" s="14" t="inlineStr"/>
      <c r="C11" s="19" t="n"/>
      <c r="D11" s="20" t="n"/>
      <c r="E11" s="21">
        <f>IF($C11="","",'설정'!$B$6)</f>
        <v/>
      </c>
      <c r="F11" s="21">
        <f>IF($C11="","",$C11+E11)</f>
        <v/>
      </c>
      <c r="G11" s="21">
        <f>IF($C11="","",ROUNDUP(MAX(N(D11),F11*'설정'!$B$8/(1-'설정'!$B$7/100)),-2))</f>
        <v/>
      </c>
      <c r="H11" s="20">
        <f>IF($C11="","",G11)</f>
        <v/>
      </c>
      <c r="I11" s="16">
        <f>IF($C11="","",H11*(1-'설정'!$B$7/100)-F11)</f>
        <v/>
      </c>
      <c r="J11" s="15">
        <f>IF($C11="","",IF(H11=0,0,I11/H11))</f>
        <v/>
      </c>
      <c r="K11" s="14">
        <f>IF($C11="","",IF(I11&lt;0,"⚠️손해",IF(J11&lt;'설정'!$B$9/100,"⚠️주의","✅")))</f>
        <v/>
      </c>
    </row>
  </sheetData>
  <mergeCells count="2">
    <mergeCell ref="A2:K2"/>
    <mergeCell ref="A1:K1"/>
  </mergeCells>
  <conditionalFormatting sqref="I4:J11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9" customWidth="1" min="10" max="10"/>
    <col width="9" customWidth="1" min="11" max="11"/>
  </cols>
  <sheetData>
    <row r="1" ht="24" customHeight="1">
      <c r="A1" s="1" t="inlineStr">
        <is>
          <t>🍇 쥬얼리프룻 마진계산기</t>
        </is>
      </c>
    </row>
    <row r="2">
      <c r="A2" s="17" t="inlineStr">
        <is>
          <t>🟡 공급가를 받으면 등급·옵션·공급가만 입력하세요. 나머지는 자동 계산됩니다. (현재 공급가 미수령)</t>
        </is>
      </c>
    </row>
    <row r="3" ht="30" customHeight="1">
      <c r="A3" s="18" t="inlineStr">
        <is>
          <t>등급</t>
        </is>
      </c>
      <c r="B3" s="18" t="inlineStr">
        <is>
          <t>옵션(중량)</t>
        </is>
      </c>
      <c r="C3" s="18" t="inlineStr">
        <is>
          <t>공급가
(원, 택배포함) 🟡</t>
        </is>
      </c>
      <c r="D3" s="18" t="inlineStr">
        <is>
          <t>시세
(원, 선택) 🟡</t>
        </is>
      </c>
      <c r="E3" s="18" t="inlineStr">
        <is>
          <t>광고비/건</t>
        </is>
      </c>
      <c r="F3" s="18" t="inlineStr">
        <is>
          <t>변동원가</t>
        </is>
      </c>
      <c r="G3" s="18" t="inlineStr">
        <is>
          <t>권장판매가</t>
        </is>
      </c>
      <c r="H3" s="18" t="inlineStr">
        <is>
          <t>적용판매가 🟡</t>
        </is>
      </c>
      <c r="I3" s="18" t="inlineStr">
        <is>
          <t>마진(원)</t>
        </is>
      </c>
      <c r="J3" s="18" t="inlineStr">
        <is>
          <t>마진율</t>
        </is>
      </c>
      <c r="K3" s="18" t="inlineStr">
        <is>
          <t>경고</t>
        </is>
      </c>
    </row>
    <row r="4">
      <c r="A4" s="14" t="inlineStr"/>
      <c r="B4" s="14" t="inlineStr"/>
      <c r="C4" s="19" t="n"/>
      <c r="D4" s="20" t="n"/>
      <c r="E4" s="21">
        <f>IF($C4="","",'설정'!$B$6)</f>
        <v/>
      </c>
      <c r="F4" s="21">
        <f>IF($C4="","",$C4+E4)</f>
        <v/>
      </c>
      <c r="G4" s="21">
        <f>IF($C4="","",ROUNDUP(MAX(N(D4),F4*'설정'!$B$8/(1-'설정'!$B$7/100)),-2))</f>
        <v/>
      </c>
      <c r="H4" s="20">
        <f>IF($C4="","",G4)</f>
        <v/>
      </c>
      <c r="I4" s="16">
        <f>IF($C4="","",H4*(1-'설정'!$B$7/100)-F4)</f>
        <v/>
      </c>
      <c r="J4" s="15">
        <f>IF($C4="","",IF(H4=0,0,I4/H4))</f>
        <v/>
      </c>
      <c r="K4" s="14">
        <f>IF($C4="","",IF(I4&lt;0,"⚠️손해",IF(J4&lt;'설정'!$B$9/100,"⚠️주의","✅")))</f>
        <v/>
      </c>
    </row>
    <row r="5">
      <c r="A5" s="14" t="inlineStr"/>
      <c r="B5" s="14" t="inlineStr"/>
      <c r="C5" s="19" t="n"/>
      <c r="D5" s="20" t="n"/>
      <c r="E5" s="21">
        <f>IF($C5="","",'설정'!$B$6)</f>
        <v/>
      </c>
      <c r="F5" s="21">
        <f>IF($C5="","",$C5+E5)</f>
        <v/>
      </c>
      <c r="G5" s="21">
        <f>IF($C5="","",ROUNDUP(MAX(N(D5),F5*'설정'!$B$8/(1-'설정'!$B$7/100)),-2))</f>
        <v/>
      </c>
      <c r="H5" s="20">
        <f>IF($C5="","",G5)</f>
        <v/>
      </c>
      <c r="I5" s="16">
        <f>IF($C5="","",H5*(1-'설정'!$B$7/100)-F5)</f>
        <v/>
      </c>
      <c r="J5" s="15">
        <f>IF($C5="","",IF(H5=0,0,I5/H5))</f>
        <v/>
      </c>
      <c r="K5" s="14">
        <f>IF($C5="","",IF(I5&lt;0,"⚠️손해",IF(J5&lt;'설정'!$B$9/100,"⚠️주의","✅")))</f>
        <v/>
      </c>
    </row>
    <row r="6">
      <c r="A6" s="14" t="inlineStr"/>
      <c r="B6" s="14" t="inlineStr"/>
      <c r="C6" s="19" t="n"/>
      <c r="D6" s="20" t="n"/>
      <c r="E6" s="21">
        <f>IF($C6="","",'설정'!$B$6)</f>
        <v/>
      </c>
      <c r="F6" s="21">
        <f>IF($C6="","",$C6+E6)</f>
        <v/>
      </c>
      <c r="G6" s="21">
        <f>IF($C6="","",ROUNDUP(MAX(N(D6),F6*'설정'!$B$8/(1-'설정'!$B$7/100)),-2))</f>
        <v/>
      </c>
      <c r="H6" s="20">
        <f>IF($C6="","",G6)</f>
        <v/>
      </c>
      <c r="I6" s="16">
        <f>IF($C6="","",H6*(1-'설정'!$B$7/100)-F6)</f>
        <v/>
      </c>
      <c r="J6" s="15">
        <f>IF($C6="","",IF(H6=0,0,I6/H6))</f>
        <v/>
      </c>
      <c r="K6" s="14">
        <f>IF($C6="","",IF(I6&lt;0,"⚠️손해",IF(J6&lt;'설정'!$B$9/100,"⚠️주의","✅")))</f>
        <v/>
      </c>
    </row>
    <row r="7">
      <c r="A7" s="14" t="inlineStr"/>
      <c r="B7" s="14" t="inlineStr"/>
      <c r="C7" s="19" t="n"/>
      <c r="D7" s="20" t="n"/>
      <c r="E7" s="21">
        <f>IF($C7="","",'설정'!$B$6)</f>
        <v/>
      </c>
      <c r="F7" s="21">
        <f>IF($C7="","",$C7+E7)</f>
        <v/>
      </c>
      <c r="G7" s="21">
        <f>IF($C7="","",ROUNDUP(MAX(N(D7),F7*'설정'!$B$8/(1-'설정'!$B$7/100)),-2))</f>
        <v/>
      </c>
      <c r="H7" s="20">
        <f>IF($C7="","",G7)</f>
        <v/>
      </c>
      <c r="I7" s="16">
        <f>IF($C7="","",H7*(1-'설정'!$B$7/100)-F7)</f>
        <v/>
      </c>
      <c r="J7" s="15">
        <f>IF($C7="","",IF(H7=0,0,I7/H7))</f>
        <v/>
      </c>
      <c r="K7" s="14">
        <f>IF($C7="","",IF(I7&lt;0,"⚠️손해",IF(J7&lt;'설정'!$B$9/100,"⚠️주의","✅")))</f>
        <v/>
      </c>
    </row>
    <row r="8">
      <c r="A8" s="14" t="inlineStr"/>
      <c r="B8" s="14" t="inlineStr"/>
      <c r="C8" s="19" t="n"/>
      <c r="D8" s="20" t="n"/>
      <c r="E8" s="21">
        <f>IF($C8="","",'설정'!$B$6)</f>
        <v/>
      </c>
      <c r="F8" s="21">
        <f>IF($C8="","",$C8+E8)</f>
        <v/>
      </c>
      <c r="G8" s="21">
        <f>IF($C8="","",ROUNDUP(MAX(N(D8),F8*'설정'!$B$8/(1-'설정'!$B$7/100)),-2))</f>
        <v/>
      </c>
      <c r="H8" s="20">
        <f>IF($C8="","",G8)</f>
        <v/>
      </c>
      <c r="I8" s="16">
        <f>IF($C8="","",H8*(1-'설정'!$B$7/100)-F8)</f>
        <v/>
      </c>
      <c r="J8" s="15">
        <f>IF($C8="","",IF(H8=0,0,I8/H8))</f>
        <v/>
      </c>
      <c r="K8" s="14">
        <f>IF($C8="","",IF(I8&lt;0,"⚠️손해",IF(J8&lt;'설정'!$B$9/100,"⚠️주의","✅")))</f>
        <v/>
      </c>
    </row>
    <row r="9">
      <c r="A9" s="14" t="inlineStr"/>
      <c r="B9" s="14" t="inlineStr"/>
      <c r="C9" s="19" t="n"/>
      <c r="D9" s="20" t="n"/>
      <c r="E9" s="21">
        <f>IF($C9="","",'설정'!$B$6)</f>
        <v/>
      </c>
      <c r="F9" s="21">
        <f>IF($C9="","",$C9+E9)</f>
        <v/>
      </c>
      <c r="G9" s="21">
        <f>IF($C9="","",ROUNDUP(MAX(N(D9),F9*'설정'!$B$8/(1-'설정'!$B$7/100)),-2))</f>
        <v/>
      </c>
      <c r="H9" s="20">
        <f>IF($C9="","",G9)</f>
        <v/>
      </c>
      <c r="I9" s="16">
        <f>IF($C9="","",H9*(1-'설정'!$B$7/100)-F9)</f>
        <v/>
      </c>
      <c r="J9" s="15">
        <f>IF($C9="","",IF(H9=0,0,I9/H9))</f>
        <v/>
      </c>
      <c r="K9" s="14">
        <f>IF($C9="","",IF(I9&lt;0,"⚠️손해",IF(J9&lt;'설정'!$B$9/100,"⚠️주의","✅")))</f>
        <v/>
      </c>
    </row>
    <row r="10">
      <c r="A10" s="14" t="inlineStr"/>
      <c r="B10" s="14" t="inlineStr"/>
      <c r="C10" s="19" t="n"/>
      <c r="D10" s="20" t="n"/>
      <c r="E10" s="21">
        <f>IF($C10="","",'설정'!$B$6)</f>
        <v/>
      </c>
      <c r="F10" s="21">
        <f>IF($C10="","",$C10+E10)</f>
        <v/>
      </c>
      <c r="G10" s="21">
        <f>IF($C10="","",ROUNDUP(MAX(N(D10),F10*'설정'!$B$8/(1-'설정'!$B$7/100)),-2))</f>
        <v/>
      </c>
      <c r="H10" s="20">
        <f>IF($C10="","",G10)</f>
        <v/>
      </c>
      <c r="I10" s="16">
        <f>IF($C10="","",H10*(1-'설정'!$B$7/100)-F10)</f>
        <v/>
      </c>
      <c r="J10" s="15">
        <f>IF($C10="","",IF(H10=0,0,I10/H10))</f>
        <v/>
      </c>
      <c r="K10" s="14">
        <f>IF($C10="","",IF(I10&lt;0,"⚠️손해",IF(J10&lt;'설정'!$B$9/100,"⚠️주의","✅")))</f>
        <v/>
      </c>
    </row>
    <row r="11">
      <c r="A11" s="14" t="inlineStr"/>
      <c r="B11" s="14" t="inlineStr"/>
      <c r="C11" s="19" t="n"/>
      <c r="D11" s="20" t="n"/>
      <c r="E11" s="21">
        <f>IF($C11="","",'설정'!$B$6)</f>
        <v/>
      </c>
      <c r="F11" s="21">
        <f>IF($C11="","",$C11+E11)</f>
        <v/>
      </c>
      <c r="G11" s="21">
        <f>IF($C11="","",ROUNDUP(MAX(N(D11),F11*'설정'!$B$8/(1-'설정'!$B$7/100)),-2))</f>
        <v/>
      </c>
      <c r="H11" s="20">
        <f>IF($C11="","",G11)</f>
        <v/>
      </c>
      <c r="I11" s="16">
        <f>IF($C11="","",H11*(1-'설정'!$B$7/100)-F11)</f>
        <v/>
      </c>
      <c r="J11" s="15">
        <f>IF($C11="","",IF(H11=0,0,I11/H11))</f>
        <v/>
      </c>
      <c r="K11" s="14">
        <f>IF($C11="","",IF(I11&lt;0,"⚠️손해",IF(J11&lt;'설정'!$B$9/100,"⚠️주의","✅")))</f>
        <v/>
      </c>
    </row>
  </sheetData>
  <mergeCells count="2">
    <mergeCell ref="A2:K2"/>
    <mergeCell ref="A1:K1"/>
  </mergeCells>
  <conditionalFormatting sqref="I4:J11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2026-06-23T15:57:17Z</dcterms:created>
  <dcterms:modified xsi:type="dcterms:W3CDTF">2026-06-23T15:57:17Z</dcterms:modified>
</cp:coreProperties>
</file>