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소싱_마진시트" sheetId="1" state="visible" r:id="rId1"/>
    <sheet name="사용법_및_한계" sheetId="2" state="visible" r:id="rId2"/>
    <sheet name="원본_다나와데이터"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맑은 고딕"/>
      <b val="1"/>
      <color rgb="009C0006"/>
      <sz val="10"/>
    </font>
    <font>
      <name val="맑은 고딕"/>
      <i val="1"/>
      <color rgb="00404040"/>
      <sz val="9"/>
    </font>
    <font>
      <name val="맑은 고딕"/>
      <b val="1"/>
      <color rgb="00FFFFFF"/>
      <sz val="10"/>
    </font>
    <font>
      <name val="맑은 고딕"/>
      <sz val="10"/>
    </font>
    <font>
      <name val="맑은 고딕"/>
      <b val="1"/>
      <color rgb="009C0006"/>
      <sz val="13"/>
    </font>
    <font>
      <name val="맑은 고딕"/>
      <b val="1"/>
      <color rgb="001F3864"/>
      <sz val="11"/>
    </font>
  </fonts>
  <fills count="13">
    <fill>
      <patternFill/>
    </fill>
    <fill>
      <patternFill patternType="gray125"/>
    </fill>
    <fill>
      <patternFill patternType="solid">
        <fgColor rgb="00FFF2CC"/>
      </patternFill>
    </fill>
    <fill>
      <patternFill patternType="solid">
        <fgColor rgb="002E5496"/>
      </patternFill>
    </fill>
    <fill>
      <patternFill patternType="solid">
        <fgColor rgb="001F3864"/>
      </patternFill>
    </fill>
    <fill>
      <patternFill patternType="solid">
        <fgColor rgb="00BF8F00"/>
      </patternFill>
    </fill>
    <fill>
      <patternFill patternType="solid">
        <fgColor rgb="00595959"/>
      </patternFill>
    </fill>
    <fill>
      <patternFill patternType="solid">
        <fgColor rgb="00375623"/>
      </patternFill>
    </fill>
    <fill>
      <patternFill patternType="solid">
        <fgColor rgb="007F6000"/>
      </patternFill>
    </fill>
    <fill>
      <patternFill patternType="solid">
        <fgColor rgb="00E2EFDA"/>
      </patternFill>
    </fill>
    <fill>
      <patternFill patternType="solid">
        <fgColor rgb="00FFE699"/>
      </patternFill>
    </fill>
    <fill>
      <patternFill patternType="solid">
        <fgColor rgb="00FFFFFF"/>
      </patternFill>
    </fill>
    <fill>
      <patternFill patternType="solid">
        <fgColor rgb="00F2F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9" borderId="1" applyAlignment="1" pivotButton="0" quotePrefix="0" xfId="0">
      <alignment horizontal="center" vertical="center" wrapText="1"/>
    </xf>
    <xf numFmtId="3" fontId="4" fillId="9" borderId="1" applyAlignment="1" pivotButton="0" quotePrefix="0" xfId="0">
      <alignment horizontal="right" vertical="center"/>
    </xf>
    <xf numFmtId="164" fontId="4" fillId="9" borderId="1" applyAlignment="1" pivotButton="0" quotePrefix="0" xfId="0">
      <alignment horizontal="right" vertical="center"/>
    </xf>
    <xf numFmtId="3" fontId="4" fillId="2" borderId="1" applyAlignment="1" pivotButton="0" quotePrefix="0" xfId="0">
      <alignment horizontal="right" vertical="center"/>
    </xf>
    <xf numFmtId="3" fontId="4" fillId="10" borderId="1" applyAlignment="1" pivotButton="0" quotePrefix="0" xfId="0">
      <alignment horizontal="right" vertical="center"/>
    </xf>
    <xf numFmtId="0" fontId="4" fillId="10" borderId="1" applyAlignment="1" pivotButton="0" quotePrefix="0" xfId="0">
      <alignment horizontal="left" vertical="center" wrapText="1"/>
    </xf>
    <xf numFmtId="0" fontId="4" fillId="2"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0" borderId="0" applyAlignment="1" pivotButton="0" quotePrefix="0" xfId="0">
      <alignment horizontal="left" vertical="center" wrapText="1"/>
    </xf>
    <xf numFmtId="0" fontId="4"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3" fontId="4" fillId="0" borderId="1" applyAlignment="1" pivotButton="0" quotePrefix="0" xfId="0">
      <alignment horizontal="center" vertical="center" wrapText="1"/>
    </xf>
  </cellXfs>
  <cellStyles count="1">
    <cellStyle name="Normal" xfId="0" builtinId="0" hidden="0"/>
  </cellStyles>
  <dxfs count="8">
    <dxf>
      <font>
        <name val="맑은 고딕"/>
        <b val="1"/>
        <color rgb="00006100"/>
      </font>
      <fill>
        <patternFill patternType="solid">
          <fgColor rgb="00C6EFCE"/>
        </patternFill>
      </fill>
    </dxf>
    <dxf>
      <font>
        <name val="맑은 고딕"/>
        <color rgb="009C0006"/>
      </font>
      <fill>
        <patternFill patternType="solid">
          <fgColor rgb="00FFC7CE"/>
        </patternFill>
      </fill>
    </dxf>
    <dxf>
      <fill>
        <patternFill patternType="solid">
          <fgColor rgb="0063BE7B"/>
        </patternFill>
      </fill>
    </dxf>
    <dxf>
      <fill>
        <patternFill patternType="solid">
          <fgColor rgb="00C6EFCE"/>
        </patternFill>
      </fill>
    </dxf>
    <dxf>
      <fill>
        <patternFill patternType="solid">
          <fgColor rgb="00FFEB9C"/>
        </patternFill>
      </fill>
    </dxf>
    <dxf>
      <fill>
        <patternFill patternType="solid">
          <fgColor rgb="00FFC7CE"/>
        </patternFill>
      </fill>
    </dxf>
    <dxf>
      <font>
        <name val="맑은 고딕"/>
        <b val="1"/>
        <color rgb="00FFFFFF"/>
      </font>
      <fill>
        <patternFill patternType="solid">
          <fgColor rgb="0063BE7B"/>
        </patternFill>
      </fill>
    </dxf>
    <dxf>
      <font>
        <name val="맑은 고딕"/>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소싱봇</author>
  </authors>
  <commentList>
    <comment ref="H4" authorId="0" shapeId="0">
      <text>
        <t>쿠팡(로그인)에서 이 모델 아이템위너 판매가를 입력. 입력 즉시 마진/등급 자동계산.</t>
      </text>
    </comment>
    <comment ref="J4" authorId="0" shapeId="0">
      <text>
        <t>해외배송·품절·카드전용가 제외한 다나와 국내 최저가 판매처. 위너경쟁은 최저가 싸움이므로 여기가 핵심.</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A87"/>
  <sheetViews>
    <sheetView workbookViewId="0">
      <pane xSplit="7" ySplit="3" topLeftCell="H4"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3" customWidth="1" min="3" max="3"/>
    <col width="9" customWidth="1" min="4" max="4"/>
    <col width="11" customWidth="1" min="5" max="5"/>
    <col width="11" customWidth="1" min="6" max="6"/>
    <col width="11" customWidth="1" min="7" max="7"/>
    <col width="13" customWidth="1" min="8" max="8"/>
    <col width="12" customWidth="1" min="9" max="9"/>
    <col width="14" customWidth="1" min="10" max="10"/>
    <col width="30" customWidth="1" min="11" max="11"/>
    <col width="20" customWidth="1" min="12" max="12"/>
    <col width="11" customWidth="1" min="13" max="13"/>
    <col width="10" customWidth="1" min="14" max="14"/>
    <col width="18" customWidth="1" min="15" max="15"/>
    <col width="28" customWidth="1" min="16" max="16"/>
    <col width="7" customWidth="1" min="17" max="17"/>
    <col width="18" customWidth="1" min="18" max="18"/>
    <col width="8" customWidth="1" min="19" max="19"/>
    <col width="10" customWidth="1" min="20" max="20"/>
    <col width="12" customWidth="1" min="21" max="21"/>
    <col width="10" customWidth="1" min="22" max="22"/>
    <col width="10" customWidth="1" min="23" max="23"/>
    <col width="11" customWidth="1" min="24" max="24"/>
    <col width="24" customWidth="1" min="25" max="25"/>
    <col width="28" customWidth="1" min="26" max="26"/>
    <col width="22" customWidth="1" min="27" max="27"/>
  </cols>
  <sheetData>
    <row r="1" ht="42" customHeight="1">
      <c r="A1" s="1" t="inlineStr">
        <is>
          <t>⚠ 초록(다나와 국내최저 소싱처·소싱가·마진목표가)=실조회 데이터.  노랑(①쿠팡위너가 ④판매자수 ⑤배송형태 ⑥상품평 ⑦최근리뷰 ⑧2위가 ⑨URL)=쿠팡 봇차단으로 미취득 → 로그인 상태서 직접 입력.  소싱처는 해외배송·품절·카드전용가 제외한 국내 최저가.  '사용법_및_한계' 탭 필독.</t>
        </is>
      </c>
    </row>
    <row r="2" ht="16" customHeight="1">
      <c r="A2" s="2" t="inlineStr">
        <is>
          <t>조사기준(KST): 2026-07-08 (KST) · 다나와 실조회 / 쿠팡 봇차단으로 위너·판매자데이터 미취득  |  비용모델: 판매가의 17%(수수료12+결제1+위험3+운영1)+택배비  |  손익분기위너가=소싱가/0.83  |  ★위너경쟁=최저가싸움 → 가장 싼 국내 소싱처(🏪열)가 핵심</t>
        </is>
      </c>
    </row>
    <row r="3" ht="34" customHeight="1">
      <c r="A3" s="3" t="inlineStr">
        <is>
          <t>순위</t>
        </is>
      </c>
      <c r="B3" s="3" t="inlineStr">
        <is>
          <t>등급
(자동)</t>
        </is>
      </c>
      <c r="C3" s="3" t="inlineStr">
        <is>
          <t>예상마진(원)
위너가 입력시</t>
        </is>
      </c>
      <c r="D3" s="3" t="inlineStr">
        <is>
          <t>마진율(%)</t>
        </is>
      </c>
      <c r="E3" s="3" t="inlineStr">
        <is>
          <t>손익분기
위너가(원)</t>
        </is>
      </c>
      <c r="F3" s="3" t="inlineStr">
        <is>
          <t>8%마진
목표위너가</t>
        </is>
      </c>
      <c r="G3" s="3" t="inlineStr">
        <is>
          <t>12%마진
목표위너가</t>
        </is>
      </c>
      <c r="H3" s="4" t="inlineStr">
        <is>
          <t>① [입력]
쿠팡 위너가격</t>
        </is>
      </c>
      <c r="I3" s="5" t="inlineStr">
        <is>
          <t>② 국내최저
소싱가(원)</t>
        </is>
      </c>
      <c r="J3" s="5" t="inlineStr">
        <is>
          <t>🏪 국내최저
소싱처</t>
        </is>
      </c>
      <c r="K3" s="5" t="inlineStr">
        <is>
          <t>🔗 소싱처 URL
(다나와 가격비교)</t>
        </is>
      </c>
      <c r="L3" s="5" t="inlineStr">
        <is>
          <t>소싱 비고
(쿠팡최저=마진X 등)</t>
        </is>
      </c>
      <c r="M3" s="4" t="inlineStr">
        <is>
          <t>③ [입력]
판매자택배비</t>
        </is>
      </c>
      <c r="N3" s="6" t="inlineStr">
        <is>
          <t>브랜드</t>
        </is>
      </c>
      <c r="O3" s="6" t="inlineStr">
        <is>
          <t>정확한 모델번호</t>
        </is>
      </c>
      <c r="P3" s="6" t="inlineStr">
        <is>
          <t>상품명</t>
        </is>
      </c>
      <c r="Q3" s="6" t="inlineStr">
        <is>
          <t>용량(L)</t>
        </is>
      </c>
      <c r="R3" s="6" t="inlineStr">
        <is>
          <t>주요기능/사용처</t>
        </is>
      </c>
      <c r="S3" s="7" t="inlineStr">
        <is>
          <t>다나와
판매처수</t>
        </is>
      </c>
      <c r="T3" s="4" t="inlineStr">
        <is>
          <t>④ [입력]
신품 판매자수</t>
        </is>
      </c>
      <c r="U3" s="4" t="inlineStr">
        <is>
          <t>⑤ [입력]
위너 배송형태</t>
        </is>
      </c>
      <c r="V3" s="4" t="inlineStr">
        <is>
          <t>⑥ [입력]
쿠팡 상품평수</t>
        </is>
      </c>
      <c r="W3" s="4" t="inlineStr">
        <is>
          <t>⑦ [입력]
최근리뷰(Y/N)</t>
        </is>
      </c>
      <c r="X3" s="4" t="inlineStr">
        <is>
          <t>⑧ [입력]
2위 판매자가</t>
        </is>
      </c>
      <c r="Y3" s="4" t="inlineStr">
        <is>
          <t>⑨ [입력]
쿠팡 상품 URL</t>
        </is>
      </c>
      <c r="Z3" s="8" t="inlineStr">
        <is>
          <t>쿠팡 인기신호(리드,미검증)</t>
        </is>
      </c>
      <c r="AA3" s="8" t="inlineStr">
        <is>
          <t>위험/비고</t>
        </is>
      </c>
    </row>
    <row r="4" ht="30" customHeight="1">
      <c r="A4" s="9" t="n"/>
      <c r="B4" s="9">
        <f>IF(OR(H4="",I4=""),"위너가입력필요",IF(OR(T4="",U4="",V4=""),"쿠팡검증필요",IF(OR(U4="로켓그로스",T4&lt;2,V4&lt;30,D4&lt;5),"제외",IF(AND(T4&gt;=2,U4="일반",V4&gt;=100,D4&gt;=12),"S",IF(AND(T4&gt;=2,U4="일반",V4&gt;=50,D4&gt;=8),"A",IF(AND(V4&gt;=30,T4&gt;=2,D4&gt;=5),"B","C"))))))</f>
        <v/>
      </c>
      <c r="C4" s="10">
        <f>IF(H4="","",ROUND(H4-I4-H4*0.17-M4,0))</f>
        <v/>
      </c>
      <c r="D4" s="11">
        <f>IF(OR(H4="",H4=0),"",ROUND(C4/H4*100,1))</f>
        <v/>
      </c>
      <c r="E4" s="10" t="n">
        <v>495494</v>
      </c>
      <c r="F4" s="10" t="n">
        <v>548347</v>
      </c>
      <c r="G4" s="10" t="n">
        <v>579239</v>
      </c>
      <c r="H4" s="12" t="n"/>
      <c r="I4" s="13" t="n">
        <v>411260</v>
      </c>
      <c r="J4" s="14" t="inlineStr">
        <is>
          <t>쿠팡</t>
        </is>
      </c>
      <c r="K4" s="14" t="inlineStr">
        <is>
          <t>https://search.danawa.com/dsearch.php?query=%EC%9C%84%EB%8B%89%EC%8A%A4%20%EC%A0%9C%EC%8A%B5%EA%B8%B0%2020L</t>
        </is>
      </c>
      <c r="L4" s="14" t="inlineStr">
        <is>
          <t>⚠쿠팡이최저=마진X / 2위:11번가=411,260원</t>
        </is>
      </c>
      <c r="M4" s="15" t="n">
        <v>0</v>
      </c>
      <c r="N4" s="16" t="inlineStr">
        <is>
          <t>위닉스</t>
        </is>
      </c>
      <c r="O4" s="16" t="inlineStr">
        <is>
          <t>DXWE200-OEK</t>
        </is>
      </c>
      <c r="P4" s="17" t="inlineStr">
        <is>
          <t>위닉스 뽀송 DXWE200-OEK</t>
        </is>
      </c>
      <c r="Q4" s="16" t="inlineStr">
        <is>
          <t>20</t>
        </is>
      </c>
      <c r="R4" s="17" t="inlineStr">
        <is>
          <t>인버터, 습도자동조절, 내부건조, 연속배수, UV살균, 이동바퀴, 타이머, 스마트폰제어</t>
        </is>
      </c>
      <c r="S4" s="18" t="n">
        <v>190</v>
      </c>
      <c r="T4" s="15" t="n"/>
      <c r="U4" s="15" t="n"/>
      <c r="V4" s="15" t="n"/>
      <c r="W4" s="15" t="n"/>
      <c r="X4" s="12" t="n"/>
      <c r="Y4" s="19" t="n"/>
      <c r="Z4" s="17" t="inlineStr">
        <is>
          <t>[신호/리드 - 확정 아님] 2차 자료(다나와/에누리/무신사/블로그/유튜브) 기준으로 이 모델은 위닉스 제습기 라인업의 대표 '으뜸효율환급 1등급 20L 인버터' 주력 모델로 다뤄지며, 2025년 제습기 추천글·유튜브 리뷰 TOP5 등에 반복 등장해 인기·노출도가 높은 편으로 보임. 한 검색 요약에서 '별점 4.8, 리뷰 224개'라는 수치가 언급되었으나 어느 쇼핑몰(쿠팡 여부 불명) 기준인지 출처가 특정되지 않아 확정 리뷰 수로 신뢰 불가 → 리드로만 취급. 쿠팡에는 위닉스 공식 브랜드샵이 존재하고 가격대는 약 44만~59만원대로 파악됨. 종합: 쿠팡에서도 어느 정도 판매·리뷰가 형성된 인기 모델일 '가능성'이 높다는 신호이나, 실제 쿠팡 리뷰 수/평점은 직접 미확인.</t>
        </is>
      </c>
      <c r="AA4" s="17" t="inlineStr">
        <is>
          <t>[신호 약함] 이 모델 특정 반품/과장광고/성능불만 후기는 2차 자료에서 뚜렷이 발견되지 않음. 일반적 제습기 공통 불만으로 '물통을 자주 비워야 함'이 유사 위닉스 모델 후기에서 지적되나, 본 모델은 6.3L 대용량+연속배수 지원이라 상대적으로 완화됨. 마케팅 문구('전기세 부담 적음','저소음 33.5dB','뽀송')는 홍보성 표현으로 실사용 검증 필요. DXWE200-OEK 전용 단점 상세 블로그가 드물어 위험 신호 데이터 자체가 부족함(정보 공백에 유의).</t>
        </is>
      </c>
    </row>
    <row r="5" ht="30" customHeight="1">
      <c r="A5" s="9" t="n"/>
      <c r="B5" s="9">
        <f>IF(OR(H5="",I5=""),"위너가입력필요",IF(OR(T5="",U5="",V5=""),"쿠팡검증필요",IF(OR(U5="로켓그로스",T5&lt;2,V5&lt;30,D5&lt;5),"제외",IF(AND(T5&gt;=2,U5="일반",V5&gt;=100,D5&gt;=12),"S",IF(AND(T5&gt;=2,U5="일반",V5&gt;=50,D5&gt;=8),"A",IF(AND(V5&gt;=30,T5&gt;=2,D5&gt;=5),"B","C"))))))</f>
        <v/>
      </c>
      <c r="C5" s="10">
        <f>IF(H5="","",ROUND(H5-I5-H5*0.17-M5,0))</f>
        <v/>
      </c>
      <c r="D5" s="11">
        <f>IF(OR(H5="",H5=0),"",ROUND(C5/H5*100,1))</f>
        <v/>
      </c>
      <c r="E5" s="10" t="n">
        <v>281566</v>
      </c>
      <c r="F5" s="10" t="n">
        <v>311600</v>
      </c>
      <c r="G5" s="10" t="n">
        <v>329155</v>
      </c>
      <c r="H5" s="12" t="n"/>
      <c r="I5" s="13" t="n">
        <v>233700</v>
      </c>
      <c r="J5" s="14" t="inlineStr">
        <is>
          <t>G마켓</t>
        </is>
      </c>
      <c r="K5" s="14" t="inlineStr">
        <is>
          <t>https://search.danawa.com/dsearch.php?query=%EC%9C%84%EB%8B%89%EC%8A%A4%20%EB%BD%80%EC%86%A1%2016L%20%EC%A0%9C%EC%8A%B5%EA%B8%B0</t>
        </is>
      </c>
      <c r="L5" s="14" t="inlineStr">
        <is>
          <t>2위:옥션=245,990원</t>
        </is>
      </c>
      <c r="M5" s="15" t="n">
        <v>0</v>
      </c>
      <c r="N5" s="16" t="inlineStr">
        <is>
          <t>위닉스</t>
        </is>
      </c>
      <c r="O5" s="16" t="inlineStr">
        <is>
          <t>DCVE160-PEK</t>
        </is>
      </c>
      <c r="P5" s="17" t="inlineStr">
        <is>
          <t>위닉스 뽀송 16L 제습기 DCVE160-PEK</t>
        </is>
      </c>
      <c r="Q5" s="16" t="inlineStr">
        <is>
          <t>16</t>
        </is>
      </c>
      <c r="R5" s="17" t="inlineStr">
        <is>
          <t>인버터, 연속배수, 만수알림, 성에제거, 습도자동조절, 내부건조</t>
        </is>
      </c>
      <c r="S5" s="18" t="n">
        <v>172</v>
      </c>
      <c r="T5" s="15" t="n"/>
      <c r="U5" s="15" t="n"/>
      <c r="V5" s="15" t="n"/>
      <c r="W5" s="15" t="n"/>
      <c r="X5" s="12" t="n"/>
      <c r="Y5" s="19" t="n"/>
      <c r="Z5" s="17" t="inlineStr"/>
      <c r="AA5" s="17" t="inlineStr"/>
    </row>
    <row r="6" ht="30" customHeight="1">
      <c r="A6" s="9" t="n"/>
      <c r="B6" s="9">
        <f>IF(OR(H6="",I6=""),"위너가입력필요",IF(OR(T6="",U6="",V6=""),"쿠팡검증필요",IF(OR(U6="로켓그로스",T6&lt;2,V6&lt;30,D6&lt;5),"제외",IF(AND(T6&gt;=2,U6="일반",V6&gt;=100,D6&gt;=12),"S",IF(AND(T6&gt;=2,U6="일반",V6&gt;=50,D6&gt;=8),"A",IF(AND(V6&gt;=30,T6&gt;=2,D6&gt;=5),"B","C"))))))</f>
        <v/>
      </c>
      <c r="C6" s="10">
        <f>IF(H6="","",ROUND(H6-I6-H6*0.17-M6,0))</f>
        <v/>
      </c>
      <c r="D6" s="11">
        <f>IF(OR(H6="",H6=0),"",ROUND(C6/H6*100,1))</f>
        <v/>
      </c>
      <c r="E6" s="10" t="n">
        <v>348193</v>
      </c>
      <c r="F6" s="10" t="n">
        <v>385333</v>
      </c>
      <c r="G6" s="10" t="n">
        <v>407042</v>
      </c>
      <c r="H6" s="12" t="n"/>
      <c r="I6" s="13" t="n">
        <v>289000</v>
      </c>
      <c r="J6" s="14" t="inlineStr">
        <is>
          <t>오늘의집</t>
        </is>
      </c>
      <c r="K6" s="14" t="inlineStr">
        <is>
          <t>https://search.danawa.com/dsearch.php?query=%EC%9C%84%EB%8B%89%EC%8A%A4%20%EB%BD%80%EC%86%A1%2016L%20%EC%A0%9C%EC%8A%B5%EA%B8%B0</t>
        </is>
      </c>
      <c r="L6" s="14" t="inlineStr">
        <is>
          <t>최저가=카드전용(기본가기준) / 2위:옥션=336,630원</t>
        </is>
      </c>
      <c r="M6" s="15" t="n">
        <v>0</v>
      </c>
      <c r="N6" s="16" t="inlineStr">
        <is>
          <t>위닉스</t>
        </is>
      </c>
      <c r="O6" s="16" t="inlineStr">
        <is>
          <t>DO2E160-JWK</t>
        </is>
      </c>
      <c r="P6" s="17" t="inlineStr">
        <is>
          <t>위닉스 뽀송 16L 제습기 DO2E160-JWK</t>
        </is>
      </c>
      <c r="Q6" s="16" t="inlineStr">
        <is>
          <t>16</t>
        </is>
      </c>
      <c r="R6" s="17" t="inlineStr">
        <is>
          <t>습도자동조절, 연속배수, 공기청정, 풍량조절</t>
        </is>
      </c>
      <c r="S6" s="18" t="n">
        <v>212</v>
      </c>
      <c r="T6" s="15" t="n"/>
      <c r="U6" s="15" t="n"/>
      <c r="V6" s="15" t="n"/>
      <c r="W6" s="15" t="n"/>
      <c r="X6" s="12" t="n"/>
      <c r="Y6" s="19" t="n"/>
      <c r="Z6" s="17" t="inlineStr">
        <is>
          <t>[신호/리드 — 검증 아님] 2차 자료(꿀리뷰, nosearch 리뷰·스펙분석, 클리앙 지름게시판 등)에서 이 모델이 쿠팡 인기 제습기로 반복 언급됨. 한 리뷰 글에 '쿠팡 별점 4.7 / 리뷰 약 1,356개' 수치가 인용되어 있으나 이는 2차 자료의 인용값이므로 실측 확정치가 아닌 리드로만 취급. 쿠팡에는 인접 모델 DO2W160-IWK도 함께 유통되어 모델 구분 주의 필요. 종합적으로 '위닉스 뽀송 16L 라인'이 블로그/커뮤니티/가격비교 사이트에서 높은 노출·추천 빈도를 보이는 스테디셀러 신호는 뚜렷함.</t>
        </is>
      </c>
      <c r="AA6" s="17" t="inlineStr">
        <is>
          <t>성능불만/반품 유발 가능 신호: ① 발열 — 제습 시 뜨거운 바람이 나와 실내가 더워지고 에어컨 병행 필요라는 불만 반복. ② 소음 — 컴프레서(인버터 모터 미채용) 윙윙 소음에 대한 상반된 평가, 예민한 사용자 불만 소지. ③ 조작 불편 — 물통 뚜껑 아귀 맞춤 번거로움, 리모콘 부재로 예약 조작 제한. 과장광고 관련: '16L' 표기는 제조사 일일제습량 기준이며 실사용 체감량은 환경 의존적 — 표기 제습량 대비 기대치 괴리로 인한 클레임 여지 있음(2차 자료 기반 추정, 미검증).</t>
        </is>
      </c>
    </row>
    <row r="7" ht="30" customHeight="1">
      <c r="A7" s="9" t="n"/>
      <c r="B7" s="9">
        <f>IF(OR(H7="",I7=""),"위너가입력필요",IF(OR(T7="",U7="",V7=""),"쿠팡검증필요",IF(OR(U7="로켓그로스",T7&lt;2,V7&lt;30,D7&lt;5),"제외",IF(AND(T7&gt;=2,U7="일반",V7&gt;=100,D7&gt;=12),"S",IF(AND(T7&gt;=2,U7="일반",V7&gt;=50,D7&gt;=8),"A",IF(AND(V7&gt;=30,T7&gt;=2,D7&gt;=5),"B","C"))))))</f>
        <v/>
      </c>
      <c r="C7" s="10">
        <f>IF(H7="","",ROUND(H7-I7-H7*0.17-M7,0))</f>
        <v/>
      </c>
      <c r="D7" s="11">
        <f>IF(OR(H7="",H7=0),"",ROUND(C7/H7*100,1))</f>
        <v/>
      </c>
      <c r="E7" s="10" t="n">
        <v>353057</v>
      </c>
      <c r="F7" s="10" t="n">
        <v>390716</v>
      </c>
      <c r="G7" s="10" t="n">
        <v>412728</v>
      </c>
      <c r="H7" s="12" t="n"/>
      <c r="I7" s="13" t="n">
        <v>293037</v>
      </c>
      <c r="J7" s="14" t="inlineStr">
        <is>
          <t>SSG.COM</t>
        </is>
      </c>
      <c r="K7" s="14" t="inlineStr">
        <is>
          <t>https://search.danawa.com/dsearch.php?query=%EC%9C%84%EB%8B%89%EC%8A%A4%20%EB%BD%80%EC%86%A1%2016L%20%EC%A0%9C%EC%8A%B5%EA%B8%B0</t>
        </is>
      </c>
      <c r="L7" s="14" t="inlineStr">
        <is>
          <t>2위:옥션=296,180원 (현대Hmall 295,940은 카드전용가라 제외)</t>
        </is>
      </c>
      <c r="M7" s="15" t="n">
        <v>0</v>
      </c>
      <c r="N7" s="16" t="inlineStr">
        <is>
          <t>위닉스</t>
        </is>
      </c>
      <c r="O7" s="16" t="inlineStr">
        <is>
          <t>DN2E160-KWK</t>
        </is>
      </c>
      <c r="P7" s="17" t="inlineStr">
        <is>
          <t>위닉스 뽀송 16L 제습기 DN2E160-KWK</t>
        </is>
      </c>
      <c r="Q7" s="16" t="inlineStr">
        <is>
          <t>16</t>
        </is>
      </c>
      <c r="R7" s="17" t="inlineStr">
        <is>
          <t>습도자동조절, 연속배수, 공기청정, 풍량조절</t>
        </is>
      </c>
      <c r="S7" s="18" t="n">
        <v>245</v>
      </c>
      <c r="T7" s="15" t="n"/>
      <c r="U7" s="15" t="n"/>
      <c r="V7" s="15" t="n"/>
      <c r="W7" s="15" t="n"/>
      <c r="X7" s="12" t="n"/>
      <c r="Y7" s="19" t="n"/>
      <c r="Z7" s="17" t="inlineStr">
        <is>
          <t>[신호/리드 — 검증 아님] 2차 자료(블로그·쇼핑몰) 기준 위닉스 뽀송 16L 시리즈는 쿠팡에서 인기 제습기 라인으로 반복 언급됨. 다만 DN2E160-KWK 정확 모델의 쿠팡 리뷰 페이지는 직접 확인 불가. 검색상 노출된 쿠팡 리뷰 수치(별점 4.7 / 리뷰 약 1,356개)는 동일 모델이 아니라 유사·구형 모델(DO2W160-IWK)의 것으로 보이므로 DN2E160-KWK의 확정 리뷰 수로 사용 불가. 11번가·SSG·위니텍 등 타 채널에서도 공식 판매되며 후기 다수 존재 → '인기/리뷰 많음' 방향의 신호는 있으나 쿠팡 한정 확정 수치는 미확인.</t>
        </is>
      </c>
      <c r="AA7" s="17" t="inlineStr">
        <is>
          <t>[성능불만/품질 신호] 물통 커버 실리콘(고무) 재질이 반복 세척 시 헐거워지거나 찢어질 수 있음. 연속배수 기능은 있으나 호스 별도 구매 필요(광고상 '연속배수 지원'이 완제품 포함으로 오인될 소지 → 과장광고성 리드). 소음은 '있는 편'이나 타사 대비 특별히 심하진 않다는 평이 다수. [주의] 반품 관련 직접적 부정 신호는 2차 자료에서 뚜렷이 확인되지 않음. 리뷰 수치 혼동(유사 모델 수치를 본 모델로 오인)이 소비자 오해·반품 유발 가능한 잠재 리스크.</t>
        </is>
      </c>
    </row>
    <row r="8" ht="30" customHeight="1">
      <c r="A8" s="9" t="n"/>
      <c r="B8" s="9">
        <f>IF(OR(H8="",I8=""),"위너가입력필요",IF(OR(T8="",U8="",V8=""),"쿠팡검증필요",IF(OR(U8="로켓그로스",T8&lt;2,V8&lt;30,D8&lt;5),"제외",IF(AND(T8&gt;=2,U8="일반",V8&gt;=100,D8&gt;=12),"S",IF(AND(T8&gt;=2,U8="일반",V8&gt;=50,D8&gt;=8),"A",IF(AND(V8&gt;=30,T8&gt;=2,D8&gt;=5),"B","C"))))))</f>
        <v/>
      </c>
      <c r="C8" s="10">
        <f>IF(H8="","",ROUND(H8-I8-H8*0.17-M8,0))</f>
        <v/>
      </c>
      <c r="D8" s="11">
        <f>IF(OR(H8="",H8=0),"",ROUND(C8/H8*100,1))</f>
        <v/>
      </c>
      <c r="E8" s="10" t="n">
        <v>408434</v>
      </c>
      <c r="F8" s="10" t="n">
        <v>452000</v>
      </c>
      <c r="G8" s="10" t="n">
        <v>477465</v>
      </c>
      <c r="H8" s="12" t="n"/>
      <c r="I8" s="13" t="n">
        <v>339000</v>
      </c>
      <c r="J8" s="14" t="inlineStr">
        <is>
          <t>쿠팡</t>
        </is>
      </c>
      <c r="K8" s="14" t="inlineStr">
        <is>
          <t>https://search.danawa.com/dsearch.php?query=%EC%9C%84%EB%8B%89%EC%8A%A4%20%EB%BD%80%EC%86%A1%2016L%20%EC%A0%9C%EC%8A%B5%EA%B8%B0</t>
        </is>
      </c>
      <c r="L8" s="14" t="inlineStr">
        <is>
          <t>⚠쿠팡이최저=마진X / 2위:G마켓=418,210원</t>
        </is>
      </c>
      <c r="M8" s="15" t="n">
        <v>0</v>
      </c>
      <c r="N8" s="16" t="inlineStr">
        <is>
          <t>위닉스</t>
        </is>
      </c>
      <c r="O8" s="16" t="inlineStr">
        <is>
          <t>DN2W160-KWK</t>
        </is>
      </c>
      <c r="P8" s="17" t="inlineStr">
        <is>
          <t>위닉스 뽀송 16L 제습기 DN2W160-KWK</t>
        </is>
      </c>
      <c r="Q8" s="16" t="inlineStr">
        <is>
          <t>16</t>
        </is>
      </c>
      <c r="R8" s="17" t="inlineStr">
        <is>
          <t>습도자동조절, 연속배수, 공기청정, 풍량조절</t>
        </is>
      </c>
      <c r="S8" s="18" t="n">
        <v>47</v>
      </c>
      <c r="T8" s="15" t="n"/>
      <c r="U8" s="15" t="n"/>
      <c r="V8" s="15" t="n"/>
      <c r="W8" s="15" t="n"/>
      <c r="X8" s="12" t="n"/>
      <c r="Y8" s="19" t="n"/>
      <c r="Z8" s="17" t="inlineStr"/>
      <c r="AA8" s="17" t="inlineStr"/>
    </row>
    <row r="9" ht="30" customHeight="1">
      <c r="A9" s="9" t="n"/>
      <c r="B9" s="9">
        <f>IF(OR(H9="",I9=""),"위너가입력필요",IF(OR(T9="",U9="",V9=""),"쿠팡검증필요",IF(OR(U9="로켓그로스",T9&lt;2,V9&lt;30,D9&lt;5),"제외",IF(AND(T9&gt;=2,U9="일반",V9&gt;=100,D9&gt;=12),"S",IF(AND(T9&gt;=2,U9="일반",V9&gt;=50,D9&gt;=8),"A",IF(AND(V9&gt;=30,T9&gt;=2,D9&gt;=5),"B","C"))))))</f>
        <v/>
      </c>
      <c r="C9" s="10">
        <f>IF(H9="","",ROUND(H9-I9-H9*0.17-M9,0))</f>
        <v/>
      </c>
      <c r="D9" s="11">
        <f>IF(OR(H9="",H9=0),"",ROUND(C9/H9*100,1))</f>
        <v/>
      </c>
      <c r="E9" s="10" t="n">
        <v>461313</v>
      </c>
      <c r="F9" s="10" t="n">
        <v>510520</v>
      </c>
      <c r="G9" s="10" t="n">
        <v>539282</v>
      </c>
      <c r="H9" s="12" t="n"/>
      <c r="I9" s="13" t="n">
        <v>382890</v>
      </c>
      <c r="J9" s="14" t="inlineStr">
        <is>
          <t>11번가</t>
        </is>
      </c>
      <c r="K9" s="14" t="inlineStr">
        <is>
          <t>https://search.danawa.com/dsearch.php?query=%EC%9C%84%EB%8B%89%EC%8A%A4%20%EB%BD%80%EC%86%A1%2016L%20%EC%A0%9C%EC%8A%B5%EA%B8%B0</t>
        </is>
      </c>
      <c r="L9" s="14" t="inlineStr">
        <is>
          <t>2위:로켓종합가전(네이버페이)=384,000원</t>
        </is>
      </c>
      <c r="M9" s="15" t="n">
        <v>0</v>
      </c>
      <c r="N9" s="16" t="inlineStr">
        <is>
          <t>위닉스</t>
        </is>
      </c>
      <c r="O9" s="16" t="inlineStr">
        <is>
          <t>DN2H160-IWK</t>
        </is>
      </c>
      <c r="P9" s="17" t="inlineStr">
        <is>
          <t>위닉스 뽀송 16L 제습기 DN2H160-IWK</t>
        </is>
      </c>
      <c r="Q9" s="16" t="inlineStr">
        <is>
          <t>16</t>
        </is>
      </c>
      <c r="R9" s="17" t="inlineStr">
        <is>
          <t>습도자동조절, 연속배수, 공기청정, 풍량조절</t>
        </is>
      </c>
      <c r="S9" s="18" t="n">
        <v>74</v>
      </c>
      <c r="T9" s="15" t="n"/>
      <c r="U9" s="15" t="n"/>
      <c r="V9" s="15" t="n"/>
      <c r="W9" s="15" t="n"/>
      <c r="X9" s="12" t="n"/>
      <c r="Y9" s="19" t="n"/>
      <c r="Z9" s="17" t="inlineStr"/>
      <c r="AA9" s="17" t="inlineStr"/>
    </row>
    <row r="10" ht="30" customHeight="1">
      <c r="A10" s="9" t="n"/>
      <c r="B10" s="9">
        <f>IF(OR(H10="",I10=""),"위너가입력필요",IF(OR(T10="",U10="",V10=""),"쿠팡검증필요",IF(OR(U10="로켓그로스",T10&lt;2,V10&lt;30,D10&lt;5),"제외",IF(AND(T10&gt;=2,U10="일반",V10&gt;=100,D10&gt;=12),"S",IF(AND(T10&gt;=2,U10="일반",V10&gt;=50,D10&gt;=8),"A",IF(AND(V10&gt;=30,T10&gt;=2,D10&gt;=5),"B","C"))))))</f>
        <v/>
      </c>
      <c r="C10" s="10">
        <f>IF(H10="","",ROUND(H10-I10-H10*0.17-M10,0))</f>
        <v/>
      </c>
      <c r="D10" s="11">
        <f>IF(OR(H10="",H10=0),"",ROUND(C10/H10*100,1))</f>
        <v/>
      </c>
      <c r="E10" s="10" t="n">
        <v>484928</v>
      </c>
      <c r="F10" s="10" t="n">
        <v>536653</v>
      </c>
      <c r="G10" s="10" t="n">
        <v>566887</v>
      </c>
      <c r="H10" s="12" t="n"/>
      <c r="I10" s="13" t="n">
        <v>402490</v>
      </c>
      <c r="J10" s="14" t="inlineStr">
        <is>
          <t>쿠팡</t>
        </is>
      </c>
      <c r="K10" s="14" t="inlineStr">
        <is>
          <t>https://search.danawa.com/dsearch.php?query=%EC%9C%84%EB%8B%89%EC%8A%A4%20%EB%BD%80%EC%86%A1%2016L%20%EC%A0%9C%EC%8A%B5%EA%B8%B0</t>
        </is>
      </c>
      <c r="L10" s="14" t="inlineStr">
        <is>
          <t>⚠쿠팡이최저=마진X / 2위:없음 (다나와 오픈마켓·제휴몰 판매처 목록이 비어 있어 2위 국내 판매처</t>
        </is>
      </c>
      <c r="M10" s="15" t="n">
        <v>0</v>
      </c>
      <c r="N10" s="16" t="inlineStr">
        <is>
          <t>위닉스</t>
        </is>
      </c>
      <c r="O10" s="16" t="inlineStr">
        <is>
          <t>DO2E160-HWK</t>
        </is>
      </c>
      <c r="P10" s="17" t="inlineStr">
        <is>
          <t>위닉스 뽀송 16L 제습기 DO2E160-HWK</t>
        </is>
      </c>
      <c r="Q10" s="16" t="inlineStr">
        <is>
          <t>16</t>
        </is>
      </c>
      <c r="R10" s="17" t="inlineStr">
        <is>
          <t>습도자동조절, 연속배수, 공기청정, 풍량조절</t>
        </is>
      </c>
      <c r="S10" s="18" t="n">
        <v>7</v>
      </c>
      <c r="T10" s="15" t="n"/>
      <c r="U10" s="15" t="n"/>
      <c r="V10" s="15" t="n"/>
      <c r="W10" s="15" t="n"/>
      <c r="X10" s="12" t="n"/>
      <c r="Y10" s="19" t="n"/>
      <c r="Z10" s="17" t="inlineStr"/>
      <c r="AA10" s="17" t="inlineStr">
        <is>
          <t>판매처 7곳으로 적음</t>
        </is>
      </c>
    </row>
    <row r="11" ht="30" customHeight="1">
      <c r="A11" s="9" t="n"/>
      <c r="B11" s="9">
        <f>IF(OR(H11="",I11=""),"위너가입력필요",IF(OR(T11="",U11="",V11=""),"쿠팡검증필요",IF(OR(U11="로켓그로스",T11&lt;2,V11&lt;30,D11&lt;5),"제외",IF(AND(T11&gt;=2,U11="일반",V11&gt;=100,D11&gt;=12),"S",IF(AND(T11&gt;=2,U11="일반",V11&gt;=50,D11&gt;=8),"A",IF(AND(V11&gt;=30,T11&gt;=2,D11&gt;=5),"B","C"))))))</f>
        <v/>
      </c>
      <c r="C11" s="10">
        <f>IF(H11="","",ROUND(H11-I11-H11*0.17-M11,0))</f>
        <v/>
      </c>
      <c r="D11" s="11">
        <f>IF(OR(H11="",H11=0),"",ROUND(C11/H11*100,1))</f>
        <v/>
      </c>
      <c r="E11" s="10" t="n">
        <v>507229</v>
      </c>
      <c r="F11" s="10" t="n">
        <v>561333</v>
      </c>
      <c r="G11" s="10" t="n">
        <v>592958</v>
      </c>
      <c r="H11" s="12" t="n"/>
      <c r="I11" s="13" t="n">
        <v>421000</v>
      </c>
      <c r="J11" s="14" t="inlineStr">
        <is>
          <t>HI마트 네이버페이</t>
        </is>
      </c>
      <c r="K11" s="14" t="inlineStr">
        <is>
          <t>https://search.danawa.com/dsearch.php?query=%EC%9C%84%EB%8B%89%EC%8A%A4%20%EB%BD%80%EC%86%A1%2016L%20%EC%A0%9C%EC%8A%B5%EA%B8%B0</t>
        </is>
      </c>
      <c r="L11" s="14" t="inlineStr">
        <is>
          <t>2위:옥션=530,700원</t>
        </is>
      </c>
      <c r="M11" s="15" t="n">
        <v>0</v>
      </c>
      <c r="N11" s="16" t="inlineStr">
        <is>
          <t>위닉스</t>
        </is>
      </c>
      <c r="O11" s="16" t="inlineStr">
        <is>
          <t>DO2W160-IWK</t>
        </is>
      </c>
      <c r="P11" s="17" t="inlineStr">
        <is>
          <t>위닉스 뽀송 16L 제습기 DO2W160-IWK</t>
        </is>
      </c>
      <c r="Q11" s="16" t="inlineStr">
        <is>
          <t>16</t>
        </is>
      </c>
      <c r="R11" s="17" t="inlineStr">
        <is>
          <t>습도자동조절, 연속배수, 공기청정, 풍량조절</t>
        </is>
      </c>
      <c r="S11" s="18" t="n">
        <v>6</v>
      </c>
      <c r="T11" s="15" t="n"/>
      <c r="U11" s="15" t="n"/>
      <c r="V11" s="15" t="n"/>
      <c r="W11" s="15" t="n"/>
      <c r="X11" s="12" t="n"/>
      <c r="Y11" s="19" t="n"/>
      <c r="Z11" s="17" t="inlineStr"/>
      <c r="AA11" s="17" t="inlineStr">
        <is>
          <t>판매처 6곳으로 적음</t>
        </is>
      </c>
    </row>
    <row r="12" ht="30" customHeight="1">
      <c r="A12" s="9" t="n"/>
      <c r="B12" s="9">
        <f>IF(OR(H12="",I12=""),"위너가입력필요",IF(OR(T12="",U12="",V12=""),"쿠팡검증필요",IF(OR(U12="로켓그로스",T12&lt;2,V12&lt;30,D12&lt;5),"제외",IF(AND(T12&gt;=2,U12="일반",V12&gt;=100,D12&gt;=12),"S",IF(AND(T12&gt;=2,U12="일반",V12&gt;=50,D12&gt;=8),"A",IF(AND(V12&gt;=30,T12&gt;=2,D12&gt;=5),"B","C"))))))</f>
        <v/>
      </c>
      <c r="C12" s="10">
        <f>IF(H12="","",ROUND(H12-I12-H12*0.17-M12,0))</f>
        <v/>
      </c>
      <c r="D12" s="11">
        <f>IF(OR(H12="",H12=0),"",ROUND(C12/H12*100,1))</f>
        <v/>
      </c>
      <c r="E12" s="10" t="n">
        <v>595542</v>
      </c>
      <c r="F12" s="10" t="n">
        <v>659067</v>
      </c>
      <c r="G12" s="10" t="n">
        <v>696197</v>
      </c>
      <c r="H12" s="12" t="n"/>
      <c r="I12" s="13" t="n">
        <v>494300</v>
      </c>
      <c r="J12" s="14" t="inlineStr">
        <is>
          <t>11번가</t>
        </is>
      </c>
      <c r="K12" s="14" t="inlineStr">
        <is>
          <t>https://search.danawa.com/dsearch.php?query=%EC%9C%84%EB%8B%89%EC%8A%A4%20%EB%BD%80%EC%86%A1%2016L%20%EC%A0%9C%EC%8A%B5%EA%B8%B0</t>
        </is>
      </c>
      <c r="L12" s="14" t="inlineStr">
        <is>
          <t>2위:옥션=636,620원</t>
        </is>
      </c>
      <c r="M12" s="15" t="n">
        <v>0</v>
      </c>
      <c r="N12" s="16" t="inlineStr">
        <is>
          <t>위닉스</t>
        </is>
      </c>
      <c r="O12" s="16" t="inlineStr">
        <is>
          <t>DHD-169OSST</t>
        </is>
      </c>
      <c r="P12" s="17" t="inlineStr">
        <is>
          <t>위닉스 뽀송 16L 제습기 DHD-169OSST</t>
        </is>
      </c>
      <c r="Q12" s="16" t="inlineStr">
        <is>
          <t>16</t>
        </is>
      </c>
      <c r="R12" s="17" t="inlineStr">
        <is>
          <t>습도자동조절, 연속배수, 공기청정</t>
        </is>
      </c>
      <c r="S12" s="18" t="n">
        <v>3</v>
      </c>
      <c r="T12" s="15" t="n"/>
      <c r="U12" s="15" t="n"/>
      <c r="V12" s="15" t="n"/>
      <c r="W12" s="15" t="n"/>
      <c r="X12" s="12" t="n"/>
      <c r="Y12" s="19" t="n"/>
      <c r="Z12" s="17" t="inlineStr"/>
      <c r="AA12" s="17" t="inlineStr">
        <is>
          <t>판매처 3곳으로 적음</t>
        </is>
      </c>
    </row>
    <row r="13" ht="30" customHeight="1">
      <c r="A13" s="9" t="n"/>
      <c r="B13" s="9">
        <f>IF(OR(H13="",I13=""),"위너가입력필요",IF(OR(T13="",U13="",V13=""),"쿠팡검증필요",IF(OR(U13="로켓그로스",T13&lt;2,V13&lt;30,D13&lt;5),"제외",IF(AND(T13&gt;=2,U13="일반",V13&gt;=100,D13&gt;=12),"S",IF(AND(T13&gt;=2,U13="일반",V13&gt;=50,D13&gt;=8),"A",IF(AND(V13&gt;=30,T13&gt;=2,D13&gt;=5),"B","C"))))))</f>
        <v/>
      </c>
      <c r="C13" s="10">
        <f>IF(H13="","",ROUND(H13-I13-H13*0.17-M13,0))</f>
        <v/>
      </c>
      <c r="D13" s="11">
        <f>IF(OR(H13="",H13=0),"",ROUND(C13/H13*100,1))</f>
        <v/>
      </c>
      <c r="E13" s="10" t="n">
        <v>274795</v>
      </c>
      <c r="F13" s="10" t="n">
        <v>304107</v>
      </c>
      <c r="G13" s="10" t="n">
        <v>321239</v>
      </c>
      <c r="H13" s="12" t="n"/>
      <c r="I13" s="13" t="n">
        <v>228080</v>
      </c>
      <c r="J13" s="14" t="inlineStr">
        <is>
          <t>옥션</t>
        </is>
      </c>
      <c r="K13" s="14" t="inlineStr">
        <is>
          <t>https://search.danawa.com/dsearch.php?query=%EC%9C%84%EB%8B%89%EC%8A%A4%20%EC%A0%9C%EC%8A%B5%EA%B8%B0%2010L</t>
        </is>
      </c>
      <c r="L13" s="14" t="inlineStr">
        <is>
          <t>2위:G마켓=231,570원</t>
        </is>
      </c>
      <c r="M13" s="15" t="n">
        <v>0</v>
      </c>
      <c r="N13" s="16" t="inlineStr">
        <is>
          <t>위닉스</t>
        </is>
      </c>
      <c r="O13" s="16" t="inlineStr">
        <is>
          <t>DXTM100-KWK</t>
        </is>
      </c>
      <c r="P13" s="17" t="inlineStr">
        <is>
          <t>위닉스 뽀송 DXTM100-KWK</t>
        </is>
      </c>
      <c r="Q13" s="16" t="inlineStr">
        <is>
          <t>10</t>
        </is>
      </c>
      <c r="R13" s="17" t="inlineStr">
        <is>
          <t>습도자동조절, 연속배수, 성에제거, 풍량조절</t>
        </is>
      </c>
      <c r="S13" s="18" t="n">
        <v>32</v>
      </c>
      <c r="T13" s="15" t="n"/>
      <c r="U13" s="15" t="n"/>
      <c r="V13" s="15" t="n"/>
      <c r="W13" s="15" t="n"/>
      <c r="X13" s="12" t="n"/>
      <c r="Y13" s="19" t="n"/>
      <c r="Z13" s="17" t="inlineStr"/>
      <c r="AA13" s="17" t="inlineStr">
        <is>
          <t>정상판매</t>
        </is>
      </c>
    </row>
    <row r="14" ht="30" customHeight="1">
      <c r="A14" s="9" t="n"/>
      <c r="B14" s="9">
        <f>IF(OR(H14="",I14=""),"위너가입력필요",IF(OR(T14="",U14="",V14=""),"쿠팡검증필요",IF(OR(U14="로켓그로스",T14&lt;2,V14&lt;30,D14&lt;5),"제외",IF(AND(T14&gt;=2,U14="일반",V14&gt;=100,D14&gt;=12),"S",IF(AND(T14&gt;=2,U14="일반",V14&gt;=50,D14&gt;=8),"A",IF(AND(V14&gt;=30,T14&gt;=2,D14&gt;=5),"B","C"))))))</f>
        <v/>
      </c>
      <c r="C14" s="10">
        <f>IF(H14="","",ROUND(H14-I14-H14*0.17-M14,0))</f>
        <v/>
      </c>
      <c r="D14" s="11">
        <f>IF(OR(H14="",H14=0),"",ROUND(C14/H14*100,1))</f>
        <v/>
      </c>
      <c r="E14" s="10" t="n">
        <v>295482</v>
      </c>
      <c r="F14" s="10" t="n">
        <v>327000</v>
      </c>
      <c r="G14" s="10" t="n">
        <v>345423</v>
      </c>
      <c r="H14" s="12" t="n"/>
      <c r="I14" s="13" t="n">
        <v>245250</v>
      </c>
      <c r="J14" s="14" t="inlineStr">
        <is>
          <t>옥션</t>
        </is>
      </c>
      <c r="K14" s="14" t="inlineStr">
        <is>
          <t>https://search.danawa.com/dsearch.php?query=%EC%9C%84%EB%8B%89%EC%8A%A4%20%EC%A0%9C%EC%8A%B5%EA%B8%B0%2010L</t>
        </is>
      </c>
      <c r="L14" s="14" t="inlineStr">
        <is>
          <t>2위:G마켓=249,600원</t>
        </is>
      </c>
      <c r="M14" s="15" t="n">
        <v>0</v>
      </c>
      <c r="N14" s="16" t="inlineStr">
        <is>
          <t>위닉스</t>
        </is>
      </c>
      <c r="O14" s="16" t="inlineStr">
        <is>
          <t>DXAH100-JWK</t>
        </is>
      </c>
      <c r="P14" s="17" t="inlineStr">
        <is>
          <t>위닉스 뽀송 DXAH100-JWK</t>
        </is>
      </c>
      <c r="Q14" s="16" t="inlineStr">
        <is>
          <t>10</t>
        </is>
      </c>
      <c r="R14" s="17" t="inlineStr">
        <is>
          <t>습도자동조절, 연속배수, 성에제거, 풍량조절</t>
        </is>
      </c>
      <c r="S14" s="18" t="n">
        <v>48</v>
      </c>
      <c r="T14" s="15" t="n"/>
      <c r="U14" s="15" t="n"/>
      <c r="V14" s="15" t="n"/>
      <c r="W14" s="15" t="n"/>
      <c r="X14" s="12" t="n"/>
      <c r="Y14" s="19" t="n"/>
      <c r="Z14" s="17" t="inlineStr">
        <is>
          <t>신호(리드): 쿠팡에서 약 217,000원대 판매 중이며 쿠팡 브랜드샵에도 노출되는 인기 라인업으로 확인됨. 2차 자료(가격비교/블로그/쇼핑몰)상 쿠팡 상품평이 '약 550개+긍정 평가'라는 언급이 있으나 이는 미검증 리드일 뿐 확정 리뷰 수 아님. 참고로 에누리에는 상품평 약 3,289건·평점 4.7 언급, 노써치 등에서도 다뤄지는 등 제습기 카테고리에서 대중적으로 많이 팔리는 스테디셀러 신호 강함. 장마철·빨래건조·욕실 습기 제거 용도로 후기가 활발하다는 정성 신호.</t>
        </is>
      </c>
      <c r="AA14" s="17" t="inlineStr">
        <is>
          <t>뚜렷한 심각 위험 신호는 2차 자료에서 확인되지 않음. 다만 성능 관련 유의점: 에너지소비효율 3등급, 제습효율 1.92로 '보통' 수준이라 효율 기대치가 높은 구매자에겐 불만 소지 있음. 일일제습량 10L·13평 커버로 넓은 공간(20평 이상)에서는 체감 제습력 부족 가능. 반품 관련: 표시·광고와 다르거나 계약 불이행 시 수령일부터 3개월 내 교환/반품 가능이라는 일반 정책만 확인, 구체적 반품 사례나 과장광고 클레임은 검색되지 않음. 소음·에너지등급은 확인필요 항목.</t>
        </is>
      </c>
    </row>
    <row r="15" ht="30" customHeight="1">
      <c r="A15" s="9" t="n"/>
      <c r="B15" s="9">
        <f>IF(OR(H15="",I15=""),"위너가입력필요",IF(OR(T15="",U15="",V15=""),"쿠팡검증필요",IF(OR(U15="로켓그로스",T15&lt;2,V15&lt;30,D15&lt;5),"제외",IF(AND(T15&gt;=2,U15="일반",V15&gt;=100,D15&gt;=12),"S",IF(AND(T15&gt;=2,U15="일반",V15&gt;=50,D15&gt;=8),"A",IF(AND(V15&gt;=30,T15&gt;=2,D15&gt;=5),"B","C"))))))</f>
        <v/>
      </c>
      <c r="C15" s="10">
        <f>IF(H15="","",ROUND(H15-I15-H15*0.17-M15,0))</f>
        <v/>
      </c>
      <c r="D15" s="11">
        <f>IF(OR(H15="",H15=0),"",ROUND(C15/H15*100,1))</f>
        <v/>
      </c>
      <c r="E15" s="10" t="n">
        <v>297349</v>
      </c>
      <c r="F15" s="10" t="n">
        <v>329067</v>
      </c>
      <c r="G15" s="10" t="n">
        <v>347606</v>
      </c>
      <c r="H15" s="12" t="n"/>
      <c r="I15" s="13" t="n">
        <v>246800</v>
      </c>
      <c r="J15" s="14" t="inlineStr">
        <is>
          <t>옥션</t>
        </is>
      </c>
      <c r="K15" s="14" t="inlineStr">
        <is>
          <t>https://search.danawa.com/dsearch.php?query=%EC%9C%84%EB%8B%89%EC%8A%A4%20%EC%A0%9C%EC%8A%B5%EA%B8%B0%2010L</t>
        </is>
      </c>
      <c r="L15" s="14" t="inlineStr">
        <is>
          <t>2위:G마켓=250,940원</t>
        </is>
      </c>
      <c r="M15" s="15" t="n">
        <v>0</v>
      </c>
      <c r="N15" s="16" t="inlineStr">
        <is>
          <t>위닉스</t>
        </is>
      </c>
      <c r="O15" s="16" t="inlineStr">
        <is>
          <t>DXAH100-IWK</t>
        </is>
      </c>
      <c r="P15" s="17" t="inlineStr">
        <is>
          <t>위닉스 뽀송 DXAH100-IWK</t>
        </is>
      </c>
      <c r="Q15" s="16" t="inlineStr">
        <is>
          <t>10</t>
        </is>
      </c>
      <c r="R15" s="17" t="inlineStr">
        <is>
          <t>습도자동조절, 연속배수, 성에제거, 풍량조절</t>
        </is>
      </c>
      <c r="S15" s="18" t="n">
        <v>6</v>
      </c>
      <c r="T15" s="15" t="n"/>
      <c r="U15" s="15" t="n"/>
      <c r="V15" s="15" t="n"/>
      <c r="W15" s="15" t="n"/>
      <c r="X15" s="12" t="n"/>
      <c r="Y15" s="19" t="n"/>
      <c r="Z15" s="17" t="inlineStr"/>
      <c r="AA15" s="17" t="inlineStr">
        <is>
          <t>정상판매</t>
        </is>
      </c>
    </row>
    <row r="16" ht="30" customHeight="1">
      <c r="A16" s="9" t="n"/>
      <c r="B16" s="9">
        <f>IF(OR(H16="",I16=""),"위너가입력필요",IF(OR(T16="",U16="",V16=""),"쿠팡검증필요",IF(OR(U16="로켓그로스",T16&lt;2,V16&lt;30,D16&lt;5),"제외",IF(AND(T16&gt;=2,U16="일반",V16&gt;=100,D16&gt;=12),"S",IF(AND(T16&gt;=2,U16="일반",V16&gt;=50,D16&gt;=8),"A",IF(AND(V16&gt;=30,T16&gt;=2,D16&gt;=5),"B","C"))))))</f>
        <v/>
      </c>
      <c r="C16" s="10">
        <f>IF(H16="","",ROUND(H16-I16-H16*0.17-M16,0))</f>
        <v/>
      </c>
      <c r="D16" s="11">
        <f>IF(OR(H16="",H16=0),"",ROUND(C16/H16*100,1))</f>
        <v/>
      </c>
      <c r="E16" s="10" t="n">
        <v>327470</v>
      </c>
      <c r="F16" s="10" t="n">
        <v>362400</v>
      </c>
      <c r="G16" s="10" t="n">
        <v>382817</v>
      </c>
      <c r="H16" s="12" t="n"/>
      <c r="I16" s="13" t="n">
        <v>271800</v>
      </c>
      <c r="J16" s="14" t="inlineStr">
        <is>
          <t>센바이노 네이버페이</t>
        </is>
      </c>
      <c r="K16" s="14" t="inlineStr">
        <is>
          <t>https://search.danawa.com/dsearch.php?query=%EC%9C%84%EB%8B%89%EC%8A%A4%20%EC%A0%9C%EC%8A%B5%EA%B8%B0%2010L</t>
        </is>
      </c>
      <c r="L16" s="14" t="inlineStr">
        <is>
          <t>2위:옥션=281,210원</t>
        </is>
      </c>
      <c r="M16" s="15" t="n">
        <v>0</v>
      </c>
      <c r="N16" s="16" t="inlineStr">
        <is>
          <t>위닉스</t>
        </is>
      </c>
      <c r="O16" s="16" t="inlineStr">
        <is>
          <t>DXAE100-JWK</t>
        </is>
      </c>
      <c r="P16" s="17" t="inlineStr">
        <is>
          <t>위닉스 뽀송 DXAE100-JWK</t>
        </is>
      </c>
      <c r="Q16" s="16" t="inlineStr">
        <is>
          <t>10</t>
        </is>
      </c>
      <c r="R16" s="17" t="inlineStr">
        <is>
          <t>습도자동조절, 연속배수, 성에제거, 풍량조절</t>
        </is>
      </c>
      <c r="S16" s="18" t="n">
        <v>61</v>
      </c>
      <c r="T16" s="15" t="n"/>
      <c r="U16" s="15" t="n"/>
      <c r="V16" s="15" t="n"/>
      <c r="W16" s="15" t="n"/>
      <c r="X16" s="12" t="n"/>
      <c r="Y16" s="19" t="n"/>
      <c r="Z16" s="17" t="inlineStr">
        <is>
          <t>[신호/리드 — 확정 아님] 쿠팡 직접 접근 불가로 2차 자료 기준 간접 신호만 정리함. (1) 가격비교 사이트(다나와/에누리/노서치)와 다수 쇼핑몰(11번가·SSG·이랜드몰·LG생활건강몰·위닉스 공식몰)에 폭넓게 등재된 '유통 스테디셀러' 신호 — 장마철 대표 제습기로 블로그/리뷰 콘텐츠가 반복 생성됨. (2) 꿀리뷰 등 리뷰 애그리게이터가 '장단점+최저가' 별도 페이지를 만들 만큼 검색 수요 존재. (3) 타 쇼핑몰 평점이 5점 만점 4.7 수준으로 언급됨(쿠팡 아닌 타몰 수치, 참고용). (4) '제품 등록 방법' 블로그 글이 여러 건 존재 = 실사용자 물량이 있다는 방증. 결론: 쿠팡에서도 인기/리뷰 다수일 개연성이 높은 '리드'는 확인되나, 쿠팡 실제 리뷰 수·평점은 미검증.</t>
        </is>
      </c>
      <c r="AA16" s="17" t="inlineStr">
        <is>
          <t>[반품] 개봉·사용 제품 교환/반품 제한 정책 반복 언급 — 대형 가전 특성상 단순변심 반품 마찰·회수비 리스크. [성능불만] 소음이 '약간 있다'는 후기가 공통적으로 등장(정숙성 기대 낮추는 것이 안전). 무게 14.5kg으로 체감보다 큼/무거움 언급 → 크기 기대치 관련 컴플레인 소지. [과장광고] 2020~2021년 생산 구형 재고가 '신품'처럼 유통되는 정황(연식 표기 상이) — 소싱 시 생산연도·재고 연식 반드시 확인. [기타] 연속배수 호스가 별도 판매(악세서리)로 다수 노출 → 기본 구성 오인 클레임 가능. 과장광고성 심각 위험 신호는 발견되지 않음.</t>
        </is>
      </c>
    </row>
    <row r="17" ht="30" customHeight="1">
      <c r="A17" s="9" t="n"/>
      <c r="B17" s="9">
        <f>IF(OR(H17="",I17=""),"위너가입력필요",IF(OR(T17="",U17="",V17=""),"쿠팡검증필요",IF(OR(U17="로켓그로스",T17&lt;2,V17&lt;30,D17&lt;5),"제외",IF(AND(T17&gt;=2,U17="일반",V17&gt;=100,D17&gt;=12),"S",IF(AND(T17&gt;=2,U17="일반",V17&gt;=50,D17&gt;=8),"A",IF(AND(V17&gt;=30,T17&gt;=2,D17&gt;=5),"B","C"))))))</f>
        <v/>
      </c>
      <c r="C17" s="10">
        <f>IF(H17="","",ROUND(H17-I17-H17*0.17-M17,0))</f>
        <v/>
      </c>
      <c r="D17" s="11">
        <f>IF(OR(H17="",H17=0),"",ROUND(C17/H17*100,1))</f>
        <v/>
      </c>
      <c r="E17" s="10" t="n">
        <v>358108</v>
      </c>
      <c r="F17" s="10" t="n">
        <v>396307</v>
      </c>
      <c r="G17" s="10" t="n">
        <v>418634</v>
      </c>
      <c r="H17" s="12" t="n"/>
      <c r="I17" s="13" t="n">
        <v>297230</v>
      </c>
      <c r="J17" s="14" t="inlineStr">
        <is>
          <t>롯데ON</t>
        </is>
      </c>
      <c r="K17" s="14" t="inlineStr">
        <is>
          <t>https://search.danawa.com/dsearch.php?query=%EC%9C%84%EB%8B%89%EC%8A%A4%20%EC%A0%9C%EC%8A%B5%EA%B8%B0%2010L</t>
        </is>
      </c>
      <c r="L17" s="14" t="inlineStr">
        <is>
          <t>2위:옥션=297,240원</t>
        </is>
      </c>
      <c r="M17" s="15" t="n">
        <v>0</v>
      </c>
      <c r="N17" s="16" t="inlineStr">
        <is>
          <t>위닉스</t>
        </is>
      </c>
      <c r="O17" s="16" t="inlineStr">
        <is>
          <t>DXTE100-KWK</t>
        </is>
      </c>
      <c r="P17" s="17" t="inlineStr">
        <is>
          <t>위닉스 뽀송 DXTE100-KWK</t>
        </is>
      </c>
      <c r="Q17" s="16" t="inlineStr">
        <is>
          <t>10</t>
        </is>
      </c>
      <c r="R17" s="17" t="inlineStr">
        <is>
          <t>습도자동조절, 연속배수, 성에제거, 풍량조절</t>
        </is>
      </c>
      <c r="S17" s="18" t="n">
        <v>22</v>
      </c>
      <c r="T17" s="15" t="n"/>
      <c r="U17" s="15" t="n"/>
      <c r="V17" s="15" t="n"/>
      <c r="W17" s="15" t="n"/>
      <c r="X17" s="12" t="n"/>
      <c r="Y17" s="19" t="n"/>
      <c r="Z17" s="17" t="inlineStr"/>
      <c r="AA17" s="17" t="inlineStr">
        <is>
          <t>정상판매</t>
        </is>
      </c>
    </row>
    <row r="18" ht="30" customHeight="1">
      <c r="A18" s="9" t="n"/>
      <c r="B18" s="9">
        <f>IF(OR(H18="",I18=""),"위너가입력필요",IF(OR(T18="",U18="",V18=""),"쿠팡검증필요",IF(OR(U18="로켓그로스",T18&lt;2,V18&lt;30,D18&lt;5),"제외",IF(AND(T18&gt;=2,U18="일반",V18&gt;=100,D18&gt;=12),"S",IF(AND(T18&gt;=2,U18="일반",V18&gt;=50,D18&gt;=8),"A",IF(AND(V18&gt;=30,T18&gt;=2,D18&gt;=5),"B","C"))))))</f>
        <v/>
      </c>
      <c r="C18" s="10">
        <f>IF(H18="","",ROUND(H18-I18-H18*0.17-M18,0))</f>
        <v/>
      </c>
      <c r="D18" s="11">
        <f>IF(OR(H18="",H18=0),"",ROUND(C18/H18*100,1))</f>
        <v/>
      </c>
      <c r="E18" s="10" t="n">
        <v>360241</v>
      </c>
      <c r="F18" s="10" t="n">
        <v>398667</v>
      </c>
      <c r="G18" s="10" t="n">
        <v>421127</v>
      </c>
      <c r="H18" s="12" t="n"/>
      <c r="I18" s="13" t="n">
        <v>299000</v>
      </c>
      <c r="J18" s="14" t="inlineStr">
        <is>
          <t>롯데홈쇼핑</t>
        </is>
      </c>
      <c r="K18" s="14" t="inlineStr">
        <is>
          <t>https://search.danawa.com/dsearch.php?query=%EC%9C%84%EB%8B%89%EC%8A%A4%20%EC%A0%9C%EC%8A%B5%EA%B8%B0%2010L</t>
        </is>
      </c>
      <c r="L18" s="14" t="inlineStr">
        <is>
          <t>2위:옥션=300,200원 (G마켓도 동일 300,200원)</t>
        </is>
      </c>
      <c r="M18" s="15" t="n">
        <v>0</v>
      </c>
      <c r="N18" s="16" t="inlineStr">
        <is>
          <t>위닉스</t>
        </is>
      </c>
      <c r="O18" s="16" t="inlineStr">
        <is>
          <t>DXTC100-MMK</t>
        </is>
      </c>
      <c r="P18" s="17" t="inlineStr">
        <is>
          <t>위닉스 뽀송 DXTC100-MMK</t>
        </is>
      </c>
      <c r="Q18" s="16" t="inlineStr">
        <is>
          <t>10</t>
        </is>
      </c>
      <c r="R18" s="17" t="inlineStr">
        <is>
          <t>습도자동조절</t>
        </is>
      </c>
      <c r="S18" s="18" t="n">
        <v>3</v>
      </c>
      <c r="T18" s="15" t="n"/>
      <c r="U18" s="15" t="n"/>
      <c r="V18" s="15" t="n"/>
      <c r="W18" s="15" t="n"/>
      <c r="X18" s="12" t="n"/>
      <c r="Y18" s="19" t="n"/>
      <c r="Z18" s="17" t="inlineStr"/>
      <c r="AA18" s="17" t="inlineStr">
        <is>
          <t>정상판매</t>
        </is>
      </c>
    </row>
    <row r="19" ht="30" customHeight="1">
      <c r="A19" s="9" t="n"/>
      <c r="B19" s="9">
        <f>IF(OR(H19="",I19=""),"위너가입력필요",IF(OR(T19="",U19="",V19=""),"쿠팡검증필요",IF(OR(U19="로켓그로스",T19&lt;2,V19&lt;30,D19&lt;5),"제외",IF(AND(T19&gt;=2,U19="일반",V19&gt;=100,D19&gt;=12),"S",IF(AND(T19&gt;=2,U19="일반",V19&gt;=50,D19&gt;=8),"A",IF(AND(V19&gt;=30,T19&gt;=2,D19&gt;=5),"B","C"))))))</f>
        <v/>
      </c>
      <c r="C19" s="10">
        <f>IF(H19="","",ROUND(H19-I19-H19*0.17-M19,0))</f>
        <v/>
      </c>
      <c r="D19" s="11">
        <f>IF(OR(H19="",H19=0),"",ROUND(C19/H19*100,1))</f>
        <v/>
      </c>
      <c r="E19" s="10" t="n">
        <v>480120</v>
      </c>
      <c r="F19" s="10" t="n">
        <v>531333</v>
      </c>
      <c r="G19" s="10" t="n">
        <v>561268</v>
      </c>
      <c r="H19" s="12" t="n"/>
      <c r="I19" s="13" t="n">
        <v>398500</v>
      </c>
      <c r="J19" s="14" t="inlineStr">
        <is>
          <t>11번가</t>
        </is>
      </c>
      <c r="K19" s="14" t="inlineStr">
        <is>
          <t>https://search.danawa.com/dsearch.php?query=LG%20%ED%9C%98%EC%84%BC%20%EC%A0%9C%EC%8A%B5%EA%B8%B0</t>
        </is>
      </c>
      <c r="L19" s="14" t="inlineStr">
        <is>
          <t>2위:옥션=401,180원</t>
        </is>
      </c>
      <c r="M19" s="15" t="n">
        <v>0</v>
      </c>
      <c r="N19" s="16" t="inlineStr">
        <is>
          <t>LG전자</t>
        </is>
      </c>
      <c r="O19" s="16" t="inlineStr">
        <is>
          <t>DQ205PBBC</t>
        </is>
      </c>
      <c r="P19" s="17" t="inlineStr">
        <is>
          <t>LG전자 휘센 DQ205PBBC</t>
        </is>
      </c>
      <c r="Q19" s="16" t="inlineStr">
        <is>
          <t>20</t>
        </is>
      </c>
      <c r="R19" s="17" t="inlineStr">
        <is>
          <t>에너지 1등급, 인버터, 습도자동조절</t>
        </is>
      </c>
      <c r="S19" s="18" t="n">
        <v>675</v>
      </c>
      <c r="T19" s="15" t="n"/>
      <c r="U19" s="15" t="n"/>
      <c r="V19" s="15" t="n"/>
      <c r="W19" s="15" t="n"/>
      <c r="X19" s="12" t="n"/>
      <c r="Y19" s="19" t="n"/>
      <c r="Z19" s="17" t="inlineStr">
        <is>
          <t>[신호/리드 — 확정 아님] 쿠팡 자체 판매량·리뷰 수를 직접 확인할 수 있는 2차 자료는 검색되지 않음. 다만 2차 자료 전반에서 인기 신호는 강함: (1) IT블로그·유튜브에서 '30평대 제습기 추천' 콘텐츠 다수 존재하며 리뷰 활발. (2) 네이버 스마트스토어 기준 '7,000개 넘는 리뷰 / 평점 4.91' 언급이 반복됨(※네이버 수치이며 쿠팡 수치 아님 — 혼동 주의). (3) 11번가·롯데몰·다나와 등 다수 오픈마켓 동시 판매되는 주력 판매 모델 → 쿠팡에서도 리뷰 다수 축적된 인기 모델일 개연성 높음. 결론: '쿠팡 인기 리드'로 분류 가능하나, 쿠팡 리뷰 수/랭킹은 미검증.</t>
        </is>
      </c>
      <c r="AA19" s="17" t="inlineStr">
        <is>
          <t>중대한 위험 신호는 낮음. 다만 소싱 시 주의점: (1) 무게 약 16.7kg으로 무거워 '단차/계단 이동 불편' 불만 반복 → 배송·설치 관련 클레임 소지. (2) 일부 후기에서 '켜놓고 다른 일 하기엔 시끄럽다'는 소음 불만 존재(제조사·다수 후기는 '조용함' 강조와 상충 → 저소음 과장광고 리스크 잠재). (3) 연속배수 호스가 별도 구매품인데 이를 기본 포함으로 오인할 소지 → 구성품 관련 반품/클레임 주의. 반품·불량 관련 직접적 대량 신호는 발견되지 않음.</t>
        </is>
      </c>
    </row>
    <row r="20" ht="30" customHeight="1">
      <c r="A20" s="9" t="n"/>
      <c r="B20" s="9">
        <f>IF(OR(H20="",I20=""),"위너가입력필요",IF(OR(T20="",U20="",V20=""),"쿠팡검증필요",IF(OR(U20="로켓그로스",T20&lt;2,V20&lt;30,D20&lt;5),"제외",IF(AND(T20&gt;=2,U20="일반",V20&gt;=100,D20&gt;=12),"S",IF(AND(T20&gt;=2,U20="일반",V20&gt;=50,D20&gt;=8),"A",IF(AND(V20&gt;=30,T20&gt;=2,D20&gt;=5),"B","C"))))))</f>
        <v/>
      </c>
      <c r="C20" s="10">
        <f>IF(H20="","",ROUND(H20-I20-H20*0.17-M20,0))</f>
        <v/>
      </c>
      <c r="D20" s="11">
        <f>IF(OR(H20="",H20=0),"",ROUND(C20/H20*100,1))</f>
        <v/>
      </c>
      <c r="E20" s="10" t="n">
        <v>654217</v>
      </c>
      <c r="F20" s="10" t="n">
        <v>724000</v>
      </c>
      <c r="G20" s="10" t="n">
        <v>764789</v>
      </c>
      <c r="H20" s="12" t="n"/>
      <c r="I20" s="13" t="n">
        <v>543000</v>
      </c>
      <c r="J20" s="14" t="inlineStr">
        <is>
          <t>LG전자 (공식)</t>
        </is>
      </c>
      <c r="K20" s="14" t="inlineStr">
        <is>
          <t>https://search.danawa.com/dsearch.php?query=LG%20%ED%9C%98%EC%84%BC%20%EC%A0%9C%EC%8A%B5%EA%B8%B0</t>
        </is>
      </c>
      <c r="L20" s="14" t="inlineStr">
        <is>
          <t>2위:확인불가 (판매처 표 미로드)</t>
        </is>
      </c>
      <c r="M20" s="15" t="n">
        <v>0</v>
      </c>
      <c r="N20" s="16" t="inlineStr">
        <is>
          <t>LG전자</t>
        </is>
      </c>
      <c r="O20" s="16" t="inlineStr">
        <is>
          <t>DQ205PSVA</t>
        </is>
      </c>
      <c r="P20" s="17" t="inlineStr">
        <is>
          <t>LG전자 휘센 DQ205PSVA</t>
        </is>
      </c>
      <c r="Q20" s="16" t="inlineStr">
        <is>
          <t>20</t>
        </is>
      </c>
      <c r="R20" s="17" t="inlineStr">
        <is>
          <t>에너지 1등급, 인버터, 연속배수, UV살균</t>
        </is>
      </c>
      <c r="S20" s="18" t="n">
        <v>999</v>
      </c>
      <c r="T20" s="15" t="n"/>
      <c r="U20" s="15" t="n"/>
      <c r="V20" s="15" t="n"/>
      <c r="W20" s="15" t="n"/>
      <c r="X20" s="12" t="n"/>
      <c r="Y20" s="19" t="n"/>
      <c r="Z20" s="17" t="inlineStr">
        <is>
          <t>쿠팡 자체 페이지는 직접 확인 불가(2차 자료 기반 신호/리드). 2025년 신제품으로 다나와/에누리/SSG/롯데아이몰 등 주요 온라인몰에 폭넓게 노출되며 쿠팡 포함 다수 쇼핑몰에서 판매 중이라는 언급이 있음 → 유통 노출도는 넓은 편(리드). 리뷰 규모 신호: LG 공식몰 별점 5.0 / 리뷰 약 569건 언급, 렌트리 실사용 후기 7건 등 2차 플랫폼 후기 확인됨. 단, 이는 쿠팡 후기 수가 아니라 타 플랫폼 수치이므로 쿠팡 리뷰 수로 단정 불가. 블로그(henry91 등)·뽐뿌·루리웹 특가글 등에서 반복 언급되어 관심도/화제성은 있는 편으로 보이는 신호. 확정된 쿠팡 리뷰 수는 미확인.</t>
        </is>
      </c>
      <c r="AA20" s="17" t="inlineStr">
        <is>
          <t>현재까지 2차 자료에서 반품·과장광고·심각한 성능불만 등 강한 부정 신호는 관찰되지 않음(대체로 저소음·1등급 고효율·조용함 긍정 평가). 다만 잠재적 불만 리드: (1) 물통 용량이 5L(만수 4.2L)로 20L 제습량 대비 작아 장마철 자주 비워야 함, (2) 연속배수 호스가 별매라 종일 가동 시 불편, (3) 41~49만원대 고가로 가성비 논쟁 여지. 성능 자체보다 편의/가격 관련 불만 소지가 있는 신호이며, 실제 쿠팡 반품/불만 데이터는 미확인.</t>
        </is>
      </c>
    </row>
    <row r="21" ht="30" customHeight="1">
      <c r="A21" s="9" t="n"/>
      <c r="B21" s="9">
        <f>IF(OR(H21="",I21=""),"위너가입력필요",IF(OR(T21="",U21="",V21=""),"쿠팡검증필요",IF(OR(U21="로켓그로스",T21&lt;2,V21&lt;30,D21&lt;5),"제외",IF(AND(T21&gt;=2,U21="일반",V21&gt;=100,D21&gt;=12),"S",IF(AND(T21&gt;=2,U21="일반",V21&gt;=50,D21&gt;=8),"A",IF(AND(V21&gt;=30,T21&gt;=2,D21&gt;=5),"B","C"))))))</f>
        <v/>
      </c>
      <c r="C21" s="10">
        <f>IF(H21="","",ROUND(H21-I21-H21*0.17-M21,0))</f>
        <v/>
      </c>
      <c r="D21" s="11">
        <f>IF(OR(H21="",H21=0),"",ROUND(C21/H21*100,1))</f>
        <v/>
      </c>
      <c r="E21" s="10" t="n">
        <v>502566</v>
      </c>
      <c r="F21" s="10" t="n">
        <v>556173</v>
      </c>
      <c r="G21" s="10" t="n">
        <v>587507</v>
      </c>
      <c r="H21" s="12" t="n"/>
      <c r="I21" s="13" t="n">
        <v>417130</v>
      </c>
      <c r="J21" s="14" t="inlineStr">
        <is>
          <t>SSG.COM</t>
        </is>
      </c>
      <c r="K21" s="14" t="inlineStr">
        <is>
          <t>https://search.danawa.com/dsearch.php?query=LG%20%ED%9C%98%EC%84%BC%20%EC%A0%9C%EC%8A%B5%EA%B8%B0</t>
        </is>
      </c>
      <c r="L21" s="14" t="inlineStr">
        <is>
          <t>2위:옥션=419,070원</t>
        </is>
      </c>
      <c r="M21" s="15" t="n">
        <v>0</v>
      </c>
      <c r="N21" s="16" t="inlineStr">
        <is>
          <t>LG전자</t>
        </is>
      </c>
      <c r="O21" s="16" t="inlineStr">
        <is>
          <t>DQ132PWXC</t>
        </is>
      </c>
      <c r="P21" s="17" t="inlineStr">
        <is>
          <t>LG전자 휘센 DQ132PWXC</t>
        </is>
      </c>
      <c r="Q21" s="16" t="inlineStr">
        <is>
          <t>13</t>
        </is>
      </c>
      <c r="R21" s="17" t="inlineStr">
        <is>
          <t>에너지 1등급, 인버터, 제습효율 3.4</t>
        </is>
      </c>
      <c r="S21" s="18" t="n">
        <v>31</v>
      </c>
      <c r="T21" s="15" t="n"/>
      <c r="U21" s="15" t="n"/>
      <c r="V21" s="15" t="n"/>
      <c r="W21" s="15" t="n"/>
      <c r="X21" s="12" t="n"/>
      <c r="Y21" s="19" t="n"/>
      <c r="Z21" s="17" t="inlineStr"/>
      <c r="AA21" s="17" t="inlineStr">
        <is>
          <t>출시 '22.06</t>
        </is>
      </c>
    </row>
    <row r="22" ht="30" customHeight="1">
      <c r="A22" s="9" t="n"/>
      <c r="B22" s="9">
        <f>IF(OR(H22="",I22=""),"위너가입력필요",IF(OR(T22="",U22="",V22=""),"쿠팡검증필요",IF(OR(U22="로켓그로스",T22&lt;2,V22&lt;30,D22&lt;5),"제외",IF(AND(T22&gt;=2,U22="일반",V22&gt;=100,D22&gt;=12),"S",IF(AND(T22&gt;=2,U22="일반",V22&gt;=50,D22&gt;=8),"A",IF(AND(V22&gt;=30,T22&gt;=2,D22&gt;=5),"B","C"))))))</f>
        <v/>
      </c>
      <c r="C22" s="10">
        <f>IF(H22="","",ROUND(H22-I22-H22*0.17-M22,0))</f>
        <v/>
      </c>
      <c r="D22" s="11">
        <f>IF(OR(H22="",H22=0),"",ROUND(C22/H22*100,1))</f>
        <v/>
      </c>
      <c r="E22" s="10" t="n">
        <v>516976</v>
      </c>
      <c r="F22" s="10" t="n">
        <v>572120</v>
      </c>
      <c r="G22" s="10" t="n">
        <v>604352</v>
      </c>
      <c r="H22" s="12" t="n"/>
      <c r="I22" s="13" t="n">
        <v>429090</v>
      </c>
      <c r="J22" s="14" t="inlineStr">
        <is>
          <t>신세계라이브쇼핑</t>
        </is>
      </c>
      <c r="K22" s="14" t="inlineStr">
        <is>
          <t>https://search.danawa.com/dsearch.php?query=LG%20%ED%9C%98%EC%84%BC%20%EC%A0%9C%EC%8A%B5%EA%B8%B0</t>
        </is>
      </c>
      <c r="L22" s="14" t="inlineStr">
        <is>
          <t>2위:11번가=431,430원 (카드할인 전용가 성격, 기본 표시가)</t>
        </is>
      </c>
      <c r="M22" s="15" t="n">
        <v>0</v>
      </c>
      <c r="N22" s="16" t="inlineStr">
        <is>
          <t>LG전자</t>
        </is>
      </c>
      <c r="O22" s="16" t="inlineStr">
        <is>
          <t>DQ202PSUA</t>
        </is>
      </c>
      <c r="P22" s="17" t="inlineStr">
        <is>
          <t>LG전자 휘센 DQ202PSUA</t>
        </is>
      </c>
      <c r="Q22" s="16" t="inlineStr">
        <is>
          <t>20</t>
        </is>
      </c>
      <c r="R22" s="17" t="inlineStr">
        <is>
          <t>에너지 1등급, UV살균, 자동건조</t>
        </is>
      </c>
      <c r="S22" s="18" t="n">
        <v>111</v>
      </c>
      <c r="T22" s="15" t="n"/>
      <c r="U22" s="15" t="n"/>
      <c r="V22" s="15" t="n"/>
      <c r="W22" s="15" t="n"/>
      <c r="X22" s="12" t="n"/>
      <c r="Y22" s="19" t="n"/>
      <c r="Z22" s="17" t="inlineStr"/>
      <c r="AA22" s="17" t="inlineStr"/>
    </row>
    <row r="23" ht="30" customHeight="1">
      <c r="A23" s="9" t="n"/>
      <c r="B23" s="9">
        <f>IF(OR(H23="",I23=""),"위너가입력필요",IF(OR(T23="",U23="",V23=""),"쿠팡검증필요",IF(OR(U23="로켓그로스",T23&lt;2,V23&lt;30,D23&lt;5),"제외",IF(AND(T23&gt;=2,U23="일반",V23&gt;=100,D23&gt;=12),"S",IF(AND(T23&gt;=2,U23="일반",V23&gt;=50,D23&gt;=8),"A",IF(AND(V23&gt;=30,T23&gt;=2,D23&gt;=5),"B","C"))))))</f>
        <v/>
      </c>
      <c r="C23" s="10">
        <f>IF(H23="","",ROUND(H23-I23-H23*0.17-M23,0))</f>
        <v/>
      </c>
      <c r="D23" s="11">
        <f>IF(OR(H23="",H23=0),"",ROUND(C23/H23*100,1))</f>
        <v/>
      </c>
      <c r="E23" s="10" t="n">
        <v>553012</v>
      </c>
      <c r="F23" s="10" t="n">
        <v>612000</v>
      </c>
      <c r="G23" s="10" t="n">
        <v>646479</v>
      </c>
      <c r="H23" s="12" t="n"/>
      <c r="I23" s="13" t="n">
        <v>459000</v>
      </c>
      <c r="J23" s="14" t="inlineStr">
        <is>
          <t>쿠팡</t>
        </is>
      </c>
      <c r="K23" s="14" t="inlineStr">
        <is>
          <t>https://search.danawa.com/dsearch.php?query=LG%20%ED%9C%98%EC%84%BC%20%EC%A0%9C%EC%8A%B5%EA%B8%B0</t>
        </is>
      </c>
      <c r="L23" s="14" t="inlineStr">
        <is>
          <t>⚠쿠팡이최저=마진X / 2위:마이홈물류직배=508,900원</t>
        </is>
      </c>
      <c r="M23" s="15" t="n">
        <v>0</v>
      </c>
      <c r="N23" s="16" t="inlineStr">
        <is>
          <t>LG전자</t>
        </is>
      </c>
      <c r="O23" s="16" t="inlineStr">
        <is>
          <t>DQ162PBBC</t>
        </is>
      </c>
      <c r="P23" s="17" t="inlineStr">
        <is>
          <t>LG전자 휘센 DQ162PBBC</t>
        </is>
      </c>
      <c r="Q23" s="16" t="inlineStr">
        <is>
          <t>16</t>
        </is>
      </c>
      <c r="R23" s="17" t="inlineStr">
        <is>
          <t>에너지 1등급, 인버터, 제습효율 3.2</t>
        </is>
      </c>
      <c r="S23" s="18" t="n">
        <v>40</v>
      </c>
      <c r="T23" s="15" t="n"/>
      <c r="U23" s="15" t="n"/>
      <c r="V23" s="15" t="n"/>
      <c r="W23" s="15" t="n"/>
      <c r="X23" s="12" t="n"/>
      <c r="Y23" s="19" t="n"/>
      <c r="Z23" s="17" t="inlineStr"/>
      <c r="AA23" s="17" t="inlineStr">
        <is>
          <t>출시 '22.04</t>
        </is>
      </c>
    </row>
    <row r="24" ht="30" customHeight="1">
      <c r="A24" s="9" t="n"/>
      <c r="B24" s="9">
        <f>IF(OR(H24="",I24=""),"위너가입력필요",IF(OR(T24="",U24="",V24=""),"쿠팡검증필요",IF(OR(U24="로켓그로스",T24&lt;2,V24&lt;30,D24&lt;5),"제외",IF(AND(T24&gt;=2,U24="일반",V24&gt;=100,D24&gt;=12),"S",IF(AND(T24&gt;=2,U24="일반",V24&gt;=50,D24&gt;=8),"A",IF(AND(V24&gt;=30,T24&gt;=2,D24&gt;=5),"B","C"))))))</f>
        <v/>
      </c>
      <c r="C24" s="10">
        <f>IF(H24="","",ROUND(H24-I24-H24*0.17-M24,0))</f>
        <v/>
      </c>
      <c r="D24" s="11">
        <f>IF(OR(H24="",H24=0),"",ROUND(C24/H24*100,1))</f>
        <v/>
      </c>
      <c r="E24" s="10" t="n">
        <v>726000</v>
      </c>
      <c r="F24" s="10" t="n">
        <v>803440</v>
      </c>
      <c r="G24" s="10" t="n">
        <v>848704</v>
      </c>
      <c r="H24" s="12" t="n"/>
      <c r="I24" s="13" t="n">
        <v>602580</v>
      </c>
      <c r="J24" s="14" t="inlineStr">
        <is>
          <t>옥션</t>
        </is>
      </c>
      <c r="K24" s="14" t="inlineStr">
        <is>
          <t>https://search.danawa.com/dsearch.php?query=LG%20%ED%9C%98%EC%84%BC%20%EC%A0%9C%EC%8A%B5%EA%B8%B0</t>
        </is>
      </c>
      <c r="L24" s="14" t="inlineStr">
        <is>
          <t>2위:11번가=604,280원</t>
        </is>
      </c>
      <c r="M24" s="15" t="n">
        <v>0</v>
      </c>
      <c r="N24" s="16" t="inlineStr">
        <is>
          <t>LG전자</t>
        </is>
      </c>
      <c r="O24" s="16" t="inlineStr">
        <is>
          <t>DQ256MWGA</t>
        </is>
      </c>
      <c r="P24" s="17" t="inlineStr">
        <is>
          <t>LG전자 휘센 오브제컬렉션 DQ256MWGA</t>
        </is>
      </c>
      <c r="Q24" s="16" t="inlineStr">
        <is>
          <t>25</t>
        </is>
      </c>
      <c r="R24" s="17" t="inlineStr">
        <is>
          <t>에너지 1등급, 인버터, 공기청정, UV살균</t>
        </is>
      </c>
      <c r="S24" s="18" t="n">
        <v>487</v>
      </c>
      <c r="T24" s="15" t="n"/>
      <c r="U24" s="15" t="n"/>
      <c r="V24" s="15" t="n"/>
      <c r="W24" s="15" t="n"/>
      <c r="X24" s="12" t="n"/>
      <c r="Y24" s="19" t="n"/>
      <c r="Z24" s="17" t="inlineStr"/>
      <c r="AA24" s="17" t="inlineStr"/>
    </row>
    <row r="25" ht="30" customHeight="1">
      <c r="A25" s="9" t="n"/>
      <c r="B25" s="9">
        <f>IF(OR(H25="",I25=""),"위너가입력필요",IF(OR(T25="",U25="",V25=""),"쿠팡검증필요",IF(OR(U25="로켓그로스",T25&lt;2,V25&lt;30,D25&lt;5),"제외",IF(AND(T25&gt;=2,U25="일반",V25&gt;=100,D25&gt;=12),"S",IF(AND(T25&gt;=2,U25="일반",V25&gt;=50,D25&gt;=8),"A",IF(AND(V25&gt;=30,T25&gt;=2,D25&gt;=5),"B","C"))))))</f>
        <v/>
      </c>
      <c r="C25" s="10">
        <f>IF(H25="","",ROUND(H25-I25-H25*0.17-M25,0))</f>
        <v/>
      </c>
      <c r="D25" s="11">
        <f>IF(OR(H25="",H25=0),"",ROUND(C25/H25*100,1))</f>
        <v/>
      </c>
      <c r="E25" s="10" t="n">
        <v>936145</v>
      </c>
      <c r="F25" s="10" t="n">
        <v>1036000</v>
      </c>
      <c r="G25" s="10" t="n">
        <v>1094366</v>
      </c>
      <c r="H25" s="12" t="n"/>
      <c r="I25" s="13" t="n">
        <v>777000</v>
      </c>
      <c r="J25" s="14" t="inlineStr">
        <is>
          <t>지엠디지털 네이버페이</t>
        </is>
      </c>
      <c r="K25" s="14" t="inlineStr">
        <is>
          <t>https://search.danawa.com/dsearch.php?query=LG%20%ED%9C%98%EC%84%BC%20%EC%A0%9C%EC%8A%B5%EA%B8%B0</t>
        </is>
      </c>
      <c r="L25" s="14" t="inlineStr">
        <is>
          <t>2위:신세계라이브쇼핑=784,740원</t>
        </is>
      </c>
      <c r="M25" s="15" t="n">
        <v>0</v>
      </c>
      <c r="N25" s="16" t="inlineStr">
        <is>
          <t>LG전자</t>
        </is>
      </c>
      <c r="O25" s="16" t="inlineStr">
        <is>
          <t>DQ256MWGAS</t>
        </is>
      </c>
      <c r="P25" s="17" t="inlineStr">
        <is>
          <t>LG전자 휘센 오브제컬렉션 DQ256MWGAS</t>
        </is>
      </c>
      <c r="Q25" s="16" t="inlineStr">
        <is>
          <t>25</t>
        </is>
      </c>
      <c r="R25" s="17" t="inlineStr">
        <is>
          <t>에너지 1등급, 공기청정, 건조케이스 세트</t>
        </is>
      </c>
      <c r="S25" s="18" t="n">
        <v>171</v>
      </c>
      <c r="T25" s="15" t="n"/>
      <c r="U25" s="15" t="n"/>
      <c r="V25" s="15" t="n"/>
      <c r="W25" s="15" t="n"/>
      <c r="X25" s="12" t="n"/>
      <c r="Y25" s="19" t="n"/>
      <c r="Z25" s="17" t="inlineStr"/>
      <c r="AA25" s="17" t="inlineStr">
        <is>
          <t>건조케이스 세트 구성(본품 포함)</t>
        </is>
      </c>
    </row>
    <row r="26" ht="30" customHeight="1">
      <c r="A26" s="9" t="n"/>
      <c r="B26" s="9">
        <f>IF(OR(H26="",I26=""),"위너가입력필요",IF(OR(T26="",U26="",V26=""),"쿠팡검증필요",IF(OR(U26="로켓그로스",T26&lt;2,V26&lt;30,D26&lt;5),"제외",IF(AND(T26&gt;=2,U26="일반",V26&gt;=100,D26&gt;=12),"S",IF(AND(T26&gt;=2,U26="일반",V26&gt;=50,D26&gt;=8),"A",IF(AND(V26&gt;=30,T26&gt;=2,D26&gt;=5),"B","C"))))))</f>
        <v/>
      </c>
      <c r="C26" s="10">
        <f>IF(H26="","",ROUND(H26-I26-H26*0.17-M26,0))</f>
        <v/>
      </c>
      <c r="D26" s="11">
        <f>IF(OR(H26="",H26=0),"",ROUND(C26/H26*100,1))</f>
        <v/>
      </c>
      <c r="E26" s="10" t="n">
        <v>977036</v>
      </c>
      <c r="F26" s="10" t="n">
        <v>1081253</v>
      </c>
      <c r="G26" s="10" t="n">
        <v>1142169</v>
      </c>
      <c r="H26" s="12" t="n"/>
      <c r="I26" s="13" t="n">
        <v>810940</v>
      </c>
      <c r="J26" s="14" t="inlineStr">
        <is>
          <t>11번가</t>
        </is>
      </c>
      <c r="K26" s="14" t="inlineStr">
        <is>
          <t>https://search.danawa.com/dsearch.php?query=LG%20%ED%9C%98%EC%84%BC%20%EC%A0%9C%EC%8A%B5%EA%B8%B0</t>
        </is>
      </c>
      <c r="L26" s="14" t="inlineStr">
        <is>
          <t>2위:옥션=810,950원</t>
        </is>
      </c>
      <c r="M26" s="15" t="n">
        <v>0</v>
      </c>
      <c r="N26" s="16" t="inlineStr">
        <is>
          <t>LG전자</t>
        </is>
      </c>
      <c r="O26" s="16" t="inlineStr">
        <is>
          <t>DQ256MEGA</t>
        </is>
      </c>
      <c r="P26" s="17" t="inlineStr">
        <is>
          <t>LG전자 휘센 오브제컬렉션 DQ256MEGA</t>
        </is>
      </c>
      <c r="Q26" s="16" t="inlineStr">
        <is>
          <t>25</t>
        </is>
      </c>
      <c r="R26" s="17" t="inlineStr">
        <is>
          <t>에너지 1등급, 공기청정, UV살균</t>
        </is>
      </c>
      <c r="S26" s="18" t="n">
        <v>213</v>
      </c>
      <c r="T26" s="15" t="n"/>
      <c r="U26" s="15" t="n"/>
      <c r="V26" s="15" t="n"/>
      <c r="W26" s="15" t="n"/>
      <c r="X26" s="12" t="n"/>
      <c r="Y26" s="19" t="n"/>
      <c r="Z26" s="17" t="inlineStr"/>
      <c r="AA26" s="17" t="inlineStr"/>
    </row>
    <row r="27" ht="30" customHeight="1">
      <c r="A27" s="9" t="n"/>
      <c r="B27" s="9">
        <f>IF(OR(H27="",I27=""),"위너가입력필요",IF(OR(T27="",U27="",V27=""),"쿠팡검증필요",IF(OR(U27="로켓그로스",T27&lt;2,V27&lt;30,D27&lt;5),"제외",IF(AND(T27&gt;=2,U27="일반",V27&gt;=100,D27&gt;=12),"S",IF(AND(T27&gt;=2,U27="일반",V27&gt;=50,D27&gt;=8),"A",IF(AND(V27&gt;=30,T27&gt;=2,D27&gt;=5),"B","C"))))))</f>
        <v/>
      </c>
      <c r="C27" s="10">
        <f>IF(H27="","",ROUND(H27-I27-H27*0.17-M27,0))</f>
        <v/>
      </c>
      <c r="D27" s="11">
        <f>IF(OR(H27="",H27=0),"",ROUND(C27/H27*100,1))</f>
        <v/>
      </c>
      <c r="E27" s="10" t="n">
        <v>528351</v>
      </c>
      <c r="F27" s="10" t="n">
        <v>584708</v>
      </c>
      <c r="G27" s="10" t="n">
        <v>617649</v>
      </c>
      <c r="H27" s="12" t="n"/>
      <c r="I27" s="13" t="n">
        <v>438531</v>
      </c>
      <c r="J27" s="14" t="inlineStr">
        <is>
          <t>SSG.COM</t>
        </is>
      </c>
      <c r="K27" s="14" t="inlineStr">
        <is>
          <t>https://search.danawa.com/dsearch.php?query=%EC%82%BC%EC%84%B1%20%EC%A0%9C%EC%8A%B5%EA%B8%B0</t>
        </is>
      </c>
      <c r="L27" s="14" t="inlineStr">
        <is>
          <t>2위:이마트몰=442,960원</t>
        </is>
      </c>
      <c r="M27" s="15" t="n">
        <v>0</v>
      </c>
      <c r="N27" s="16" t="inlineStr">
        <is>
          <t>삼성전자</t>
        </is>
      </c>
      <c r="O27" s="16" t="inlineStr">
        <is>
          <t>AY18CG7500GED</t>
        </is>
      </c>
      <c r="P27" s="17" t="inlineStr">
        <is>
          <t>삼성전자 제습기 AY18CG7500GED</t>
        </is>
      </c>
      <c r="Q27" s="16" t="inlineStr">
        <is>
          <t>18</t>
        </is>
      </c>
      <c r="R27" s="17" t="inlineStr">
        <is>
          <t>인버터, 습도자동조절, 만수알림, 내부건조, Wi-Fi연동</t>
        </is>
      </c>
      <c r="S27" s="18" t="n">
        <v>111</v>
      </c>
      <c r="T27" s="15" t="n"/>
      <c r="U27" s="15" t="n"/>
      <c r="V27" s="15" t="n"/>
      <c r="W27" s="15" t="n"/>
      <c r="X27" s="12" t="n"/>
      <c r="Y27" s="19" t="n"/>
      <c r="Z27" s="17" t="inlineStr">
        <is>
          <t>쿠팡 직접 접근 불가로 확정 리뷰 수는 확인 불가(수치 미확인). 2차 자료 기준 '신호/리드'만 요약: (1) 블로그에 "6개월 사용후기", "솔직 후기" 등 실사용 리뷰 콘텐츠가 다수 존재 → 개인 구매·사용층이 두꺼움을 시사(keyzard, booza 블로그). (2) 다나와/노써치 등 가격비교 사이트에 등재되어 있고 쿠팡·11번가·SSG·롯데몰·삼성몰·코스트코 등 광범위한 유통망에 노출 → 대중적 유통 모델이라는 리드. (3) 노써치 스펙분석 페이지 기준 실사용 후기 긍정 95% / 부정 5% 언급(2차 집계, 검증 아님). 종합: 쿠팡 자체 리뷰 수는 미확인이나, 2차 자료 정황상 '인기·리뷰 다수 가능성 높음'으로 추정되는 리드 수준. 실제 쿠팡 리뷰 수·평점은 쿠팡 페이지 직접 확인 필요.</t>
        </is>
      </c>
      <c r="AA27" s="17" t="inlineStr">
        <is>
          <t>현재 2차 자료에서 성능 불만·과장광고·반품 관련 부정 신호는 뚜렷하게 발견되지 않음(저위험 리드). 다만 주의점: (1) 대부분 노출 콘텐츠가 블로그/판매몰 홍보성(제휴·환급가전 프로모션 강조)이라 부정 후기가 상대적으로 적게 노출되는 편향 가능 → 과장광고 리스크는 '판단 보류'. (2) 제습기 카테고리 공통 반품 사유(소음 체감·기대 대비 제습력·무게 17.2kg로 이동 불편)가 잠재 위험. 소음은 저소음 34dB로 광고되나 최대 운전 시 체감 소음은 상이할 수 있음. (3) 삼성 정책상 단순변심 반품 7일 이내, 표시·광고 상이 시 3개월 이내 가능. 성능 불만 실제 사례는 쿠팡 실구매 리뷰(별점 낮은 순) 직접 확인으로 검증 권장.</t>
        </is>
      </c>
    </row>
    <row r="28" ht="30" customHeight="1">
      <c r="A28" s="9" t="n"/>
      <c r="B28" s="9">
        <f>IF(OR(H28="",I28=""),"위너가입력필요",IF(OR(T28="",U28="",V28=""),"쿠팡검증필요",IF(OR(U28="로켓그로스",T28&lt;2,V28&lt;30,D28&lt;5),"제외",IF(AND(T28&gt;=2,U28="일반",V28&gt;=100,D28&gt;=12),"S",IF(AND(T28&gt;=2,U28="일반",V28&gt;=50,D28&gt;=8),"A",IF(AND(V28&gt;=30,T28&gt;=2,D28&gt;=5),"B","C"))))))</f>
        <v/>
      </c>
      <c r="C28" s="10">
        <f>IF(H28="","",ROUND(H28-I28-H28*0.17-M28,0))</f>
        <v/>
      </c>
      <c r="D28" s="11">
        <f>IF(OR(H28="",H28=0),"",ROUND(C28/H28*100,1))</f>
        <v/>
      </c>
      <c r="E28" s="10" t="n">
        <v>522096</v>
      </c>
      <c r="F28" s="10" t="n">
        <v>577787</v>
      </c>
      <c r="G28" s="10" t="n">
        <v>610338</v>
      </c>
      <c r="H28" s="12" t="n"/>
      <c r="I28" s="13" t="n">
        <v>433340</v>
      </c>
      <c r="J28" s="14" t="inlineStr">
        <is>
          <t>11번가</t>
        </is>
      </c>
      <c r="K28" s="14" t="inlineStr">
        <is>
          <t>https://search.danawa.com/dsearch.php?query=%EC%82%BC%EC%84%B1%20%EC%A0%9C%EC%8A%B5%EA%B8%B0</t>
        </is>
      </c>
      <c r="L28" s="14" t="inlineStr">
        <is>
          <t>2위:G마켓=433,350원</t>
        </is>
      </c>
      <c r="M28" s="15" t="n">
        <v>0</v>
      </c>
      <c r="N28" s="16" t="inlineStr">
        <is>
          <t>삼성전자</t>
        </is>
      </c>
      <c r="O28" s="16" t="inlineStr">
        <is>
          <t>AY70H18100GVD</t>
        </is>
      </c>
      <c r="P28" s="17" t="inlineStr">
        <is>
          <t>삼성전자 제습기 AY70H18100GVD</t>
        </is>
      </c>
      <c r="Q28" s="16" t="inlineStr">
        <is>
          <t>18</t>
        </is>
      </c>
      <c r="R28" s="17" t="inlineStr">
        <is>
          <t>인버터, 습도자동조절, 내부건조, 연속배수</t>
        </is>
      </c>
      <c r="S28" s="18" t="n">
        <v>291</v>
      </c>
      <c r="T28" s="15" t="n"/>
      <c r="U28" s="15" t="n"/>
      <c r="V28" s="15" t="n"/>
      <c r="W28" s="15" t="n"/>
      <c r="X28" s="12" t="n"/>
      <c r="Y28" s="19" t="n"/>
      <c r="Z28" s="17" t="inlineStr">
        <is>
          <t>쿠팡 자체 페이지는 직접 확인 불가(신호/리드 수준). ① 에펨코리아 핫딜 게시판에 이 모델 쿠팡 로켓배송 특가(357,930원 / 369,210원)가 반복 등장 → 쿠팡에서 활발히 유통·구매되는 인기 물량 신호. ② 2차 자료(블로그/쇼핑몰)에서 "평점 4.9, 누적 리뷰 7,600개 이상 베스트셀러 라인업"으로 언급되나 이는 쿠팡 확정 수치가 아니라 판매채널 통합/삼성 라인업 전체를 가리키는 리드로 해석 필요. ③ G마켓 평점 4.8·리뷰 86개 등 타 채널 리뷰는 실측되나 쿠팡 수치는 미확인. 종합: 쿠팡에서 로켓배송 인기 모델로 보이는 신호는 강하나, 구체적 쿠팡 리뷰 수는 확정 불가.</t>
        </is>
      </c>
      <c r="AA28" s="17" t="inlineStr">
        <is>
          <t>성능 불만 신호: ①약 2개월 사용 후 따뜻한 바람 안 나옴 → 서비스센터에서 '냉매(가스) 누출' 진단, 제습력 저하 사례. ②운전 중 더운 바람이 피부에 직접 닿아 불쾌하다는 후기. ③소음(고주파음+팬 소음)이 조용한 환경에서 거슬린다는 지적 다수. 반품/과장광고 관련 직접 신호는 확인 안 됨. 다만 '가스 누출' 초기 고장 사례는 반품·교환 리스크 및 내구성 우려 신호로 모니터링 필요.</t>
        </is>
      </c>
    </row>
    <row r="29" ht="30" customHeight="1">
      <c r="A29" s="9" t="n"/>
      <c r="B29" s="9">
        <f>IF(OR(H29="",I29=""),"위너가입력필요",IF(OR(T29="",U29="",V29=""),"쿠팡검증필요",IF(OR(U29="로켓그로스",T29&lt;2,V29&lt;30,D29&lt;5),"제외",IF(AND(T29&gt;=2,U29="일반",V29&gt;=100,D29&gt;=12),"S",IF(AND(T29&gt;=2,U29="일반",V29&gt;=50,D29&gt;=8),"A",IF(AND(V29&gt;=30,T29&gt;=2,D29&gt;=5),"B","C"))))))</f>
        <v/>
      </c>
      <c r="C29" s="10">
        <f>IF(H29="","",ROUND(H29-I29-H29*0.17-M29,0))</f>
        <v/>
      </c>
      <c r="D29" s="11">
        <f>IF(OR(H29="",H29=0),"",ROUND(C29/H29*100,1))</f>
        <v/>
      </c>
      <c r="E29" s="10" t="n">
        <v>581831</v>
      </c>
      <c r="F29" s="10" t="n">
        <v>643893</v>
      </c>
      <c r="G29" s="10" t="n">
        <v>680169</v>
      </c>
      <c r="H29" s="12" t="n"/>
      <c r="I29" s="13" t="n">
        <v>482920</v>
      </c>
      <c r="J29" s="14" t="inlineStr">
        <is>
          <t>G마켓</t>
        </is>
      </c>
      <c r="K29" s="14" t="inlineStr">
        <is>
          <t>https://search.danawa.com/dsearch.php?query=%EC%82%BC%EC%84%B1%20%EC%A0%9C%EC%8A%B5%EA%B8%B0</t>
        </is>
      </c>
      <c r="L29" s="14" t="inlineStr">
        <is>
          <t>2위:옥션=498,010원</t>
        </is>
      </c>
      <c r="M29" s="15" t="n">
        <v>0</v>
      </c>
      <c r="N29" s="16" t="inlineStr">
        <is>
          <t>삼성전자</t>
        </is>
      </c>
      <c r="O29" s="16" t="inlineStr">
        <is>
          <t>AY70H21100GTD</t>
        </is>
      </c>
      <c r="P29" s="17" t="inlineStr">
        <is>
          <t>삼성전자 제습기 AY70H21100GTD</t>
        </is>
      </c>
      <c r="Q29" s="16" t="inlineStr">
        <is>
          <t>21</t>
        </is>
      </c>
      <c r="R29" s="17" t="inlineStr">
        <is>
          <t>인버터, 연속배수, 습도자동조절, 상하자동회전</t>
        </is>
      </c>
      <c r="S29" s="18" t="n">
        <v>9</v>
      </c>
      <c r="T29" s="15" t="n"/>
      <c r="U29" s="15" t="n"/>
      <c r="V29" s="15" t="n"/>
      <c r="W29" s="15" t="n"/>
      <c r="X29" s="12" t="n"/>
      <c r="Y29" s="19" t="n"/>
      <c r="Z29" s="17" t="inlineStr"/>
      <c r="AA29" s="17" t="inlineStr"/>
    </row>
    <row r="30" ht="30" customHeight="1">
      <c r="A30" s="9" t="n"/>
      <c r="B30" s="9">
        <f>IF(OR(H30="",I30=""),"위너가입력필요",IF(OR(T30="",U30="",V30=""),"쿠팡검증필요",IF(OR(U30="로켓그로스",T30&lt;2,V30&lt;30,D30&lt;5),"제외",IF(AND(T30&gt;=2,U30="일반",V30&gt;=100,D30&gt;=12),"S",IF(AND(T30&gt;=2,U30="일반",V30&gt;=50,D30&gt;=8),"A",IF(AND(V30&gt;=30,T30&gt;=2,D30&gt;=5),"B","C"))))))</f>
        <v/>
      </c>
      <c r="C30" s="10">
        <f>IF(H30="","",ROUND(H30-I30-H30*0.17-M30,0))</f>
        <v/>
      </c>
      <c r="D30" s="11">
        <f>IF(OR(H30="",H30=0),"",ROUND(C30/H30*100,1))</f>
        <v/>
      </c>
      <c r="E30" s="10" t="n">
        <v>609783</v>
      </c>
      <c r="F30" s="10" t="n">
        <v>674827</v>
      </c>
      <c r="G30" s="10" t="n">
        <v>712845</v>
      </c>
      <c r="H30" s="12" t="n"/>
      <c r="I30" s="13" t="n">
        <v>506120</v>
      </c>
      <c r="J30" s="14" t="inlineStr">
        <is>
          <t>11번가</t>
        </is>
      </c>
      <c r="K30" s="14" t="inlineStr">
        <is>
          <t>https://search.danawa.com/dsearch.php?query=%EC%82%BC%EC%84%B1%20%EC%A0%9C%EC%8A%B5%EA%B8%B0</t>
        </is>
      </c>
      <c r="L30" s="14" t="inlineStr">
        <is>
          <t>2위:롯데ON=518,950원</t>
        </is>
      </c>
      <c r="M30" s="15" t="n">
        <v>0</v>
      </c>
      <c r="N30" s="16" t="inlineStr">
        <is>
          <t>삼성전자</t>
        </is>
      </c>
      <c r="O30" s="16" t="inlineStr">
        <is>
          <t>AY18BG7500GBD</t>
        </is>
      </c>
      <c r="P30" s="17" t="inlineStr">
        <is>
          <t>삼성전자 제습기 AY18BG7500GBD</t>
        </is>
      </c>
      <c r="Q30" s="16" t="inlineStr">
        <is>
          <t>18</t>
        </is>
      </c>
      <c r="R30" s="17" t="inlineStr">
        <is>
          <t>인버터, 습도자동조절, 성에제거, 만수알림</t>
        </is>
      </c>
      <c r="S30" s="18" t="n">
        <v>41</v>
      </c>
      <c r="T30" s="15" t="n"/>
      <c r="U30" s="15" t="n"/>
      <c r="V30" s="15" t="n"/>
      <c r="W30" s="15" t="n"/>
      <c r="X30" s="12" t="n"/>
      <c r="Y30" s="19" t="n"/>
      <c r="Z30" s="17" t="inlineStr"/>
      <c r="AA30" s="17" t="inlineStr"/>
    </row>
    <row r="31" ht="30" customHeight="1">
      <c r="A31" s="9" t="n"/>
      <c r="B31" s="9">
        <f>IF(OR(H31="",I31=""),"위너가입력필요",IF(OR(T31="",U31="",V31=""),"쿠팡검증필요",IF(OR(U31="로켓그로스",T31&lt;2,V31&lt;30,D31&lt;5),"제외",IF(AND(T31&gt;=2,U31="일반",V31&gt;=100,D31&gt;=12),"S",IF(AND(T31&gt;=2,U31="일반",V31&gt;=50,D31&gt;=8),"A",IF(AND(V31&gt;=30,T31&gt;=2,D31&gt;=5),"B","C"))))))</f>
        <v/>
      </c>
      <c r="C31" s="10">
        <f>IF(H31="","",ROUND(H31-I31-H31*0.17-M31,0))</f>
        <v/>
      </c>
      <c r="D31" s="11">
        <f>IF(OR(H31="",H31=0),"",ROUND(C31/H31*100,1))</f>
        <v/>
      </c>
      <c r="E31" s="10" t="n">
        <v>836711</v>
      </c>
      <c r="F31" s="10" t="n">
        <v>925960</v>
      </c>
      <c r="G31" s="10" t="n">
        <v>978127</v>
      </c>
      <c r="H31" s="12" t="n"/>
      <c r="I31" s="13" t="n">
        <v>694470</v>
      </c>
      <c r="J31" s="14" t="inlineStr">
        <is>
          <t>G마켓</t>
        </is>
      </c>
      <c r="K31" s="14" t="inlineStr">
        <is>
          <t>https://search.danawa.com/dsearch.php?query=%EC%82%BC%EC%84%B1%20%EC%A0%9C%EC%8A%B5%EA%B8%B0</t>
        </is>
      </c>
      <c r="L31" s="14" t="inlineStr">
        <is>
          <t>2위:옥션=723,390원</t>
        </is>
      </c>
      <c r="M31" s="15" t="n">
        <v>0</v>
      </c>
      <c r="N31" s="16" t="inlineStr">
        <is>
          <t>삼성전자</t>
        </is>
      </c>
      <c r="O31" s="16" t="inlineStr">
        <is>
          <t>AY70H23100GVD</t>
        </is>
      </c>
      <c r="P31" s="17" t="inlineStr">
        <is>
          <t>삼성전자 제습기 AY70H23100GVD</t>
        </is>
      </c>
      <c r="Q31" s="16" t="inlineStr">
        <is>
          <t>23</t>
        </is>
      </c>
      <c r="R31" s="17" t="inlineStr">
        <is>
          <t>인버터, 풍량조절, 내부건조, 상하자동회전</t>
        </is>
      </c>
      <c r="S31" s="18" t="n">
        <v>5</v>
      </c>
      <c r="T31" s="15" t="n"/>
      <c r="U31" s="15" t="n"/>
      <c r="V31" s="15" t="n"/>
      <c r="W31" s="15" t="n"/>
      <c r="X31" s="12" t="n"/>
      <c r="Y31" s="19" t="n"/>
      <c r="Z31" s="17" t="inlineStr"/>
      <c r="AA31" s="17" t="inlineStr"/>
    </row>
    <row r="32" ht="30" customHeight="1">
      <c r="A32" s="9" t="n"/>
      <c r="B32" s="9">
        <f>IF(OR(H32="",I32=""),"위너가입력필요",IF(OR(T32="",U32="",V32=""),"쿠팡검증필요",IF(OR(U32="로켓그로스",T32&lt;2,V32&lt;30,D32&lt;5),"제외",IF(AND(T32&gt;=2,U32="일반",V32&gt;=100,D32&gt;=12),"S",IF(AND(T32&gt;=2,U32="일반",V32&gt;=50,D32&gt;=8),"A",IF(AND(V32&gt;=30,T32&gt;=2,D32&gt;=5),"B","C"))))))</f>
        <v/>
      </c>
      <c r="C32" s="10">
        <f>IF(H32="","",ROUND(H32-I32-H32*0.17-M32,0))</f>
        <v/>
      </c>
      <c r="D32" s="11">
        <f>IF(OR(H32="",H32=0),"",ROUND(C32/H32*100,1))</f>
        <v/>
      </c>
      <c r="E32" s="10" t="n">
        <v>938554</v>
      </c>
      <c r="F32" s="10" t="n">
        <v>1038667</v>
      </c>
      <c r="G32" s="10" t="n">
        <v>1097183</v>
      </c>
      <c r="H32" s="12" t="n"/>
      <c r="I32" s="13" t="n">
        <v>779000</v>
      </c>
      <c r="J32" s="14" t="inlineStr">
        <is>
          <t>AI가전 네이버페이</t>
        </is>
      </c>
      <c r="K32" s="14" t="inlineStr">
        <is>
          <t>https://search.danawa.com/dsearch.php?query=%EC%82%BC%EC%84%B1%20%EC%A0%9C%EC%8A%B5%EA%B8%B0</t>
        </is>
      </c>
      <c r="L32" s="14" t="inlineStr">
        <is>
          <t>2위:전자랜드=819,000원</t>
        </is>
      </c>
      <c r="M32" s="15" t="n">
        <v>0</v>
      </c>
      <c r="N32" s="16" t="inlineStr">
        <is>
          <t>삼성전자</t>
        </is>
      </c>
      <c r="O32" s="16" t="inlineStr">
        <is>
          <t>AY70H23100GTD</t>
        </is>
      </c>
      <c r="P32" s="17" t="inlineStr">
        <is>
          <t>삼성전자 제습기 AY70H23100GTD</t>
        </is>
      </c>
      <c r="Q32" s="16" t="inlineStr">
        <is>
          <t>23</t>
        </is>
      </c>
      <c r="R32" s="17" t="inlineStr">
        <is>
          <t>인버터, 연속배수, 습도자동조절, 상하자동회전</t>
        </is>
      </c>
      <c r="S32" s="18" t="n">
        <v>5</v>
      </c>
      <c r="T32" s="15" t="n"/>
      <c r="U32" s="15" t="n"/>
      <c r="V32" s="15" t="n"/>
      <c r="W32" s="15" t="n"/>
      <c r="X32" s="12" t="n"/>
      <c r="Y32" s="19" t="n"/>
      <c r="Z32" s="17" t="inlineStr"/>
      <c r="AA32" s="17" t="inlineStr"/>
    </row>
    <row r="33" ht="30" customHeight="1">
      <c r="A33" s="9" t="n"/>
      <c r="B33" s="9">
        <f>IF(OR(H33="",I33=""),"위너가입력필요",IF(OR(T33="",U33="",V33=""),"쿠팡검증필요",IF(OR(U33="로켓그로스",T33&lt;2,V33&lt;30,D33&lt;5),"제외",IF(AND(T33&gt;=2,U33="일반",V33&gt;=100,D33&gt;=12),"S",IF(AND(T33&gt;=2,U33="일반",V33&gt;=50,D33&gt;=8),"A",IF(AND(V33&gt;=30,T33&gt;=2,D33&gt;=5),"B","C"))))))</f>
        <v/>
      </c>
      <c r="C33" s="10">
        <f>IF(H33="","",ROUND(H33-I33-H33*0.17-M33,0))</f>
        <v/>
      </c>
      <c r="D33" s="11">
        <f>IF(OR(H33="",H33=0),"",ROUND(C33/H33*100,1))</f>
        <v/>
      </c>
      <c r="E33" s="10" t="n">
        <v>239747</v>
      </c>
      <c r="F33" s="10" t="n">
        <v>265320</v>
      </c>
      <c r="G33" s="10" t="n">
        <v>280268</v>
      </c>
      <c r="H33" s="12" t="n"/>
      <c r="I33" s="13" t="n">
        <v>198990</v>
      </c>
      <c r="J33" s="14" t="inlineStr">
        <is>
          <t>롯데ON</t>
        </is>
      </c>
      <c r="K33" s="14" t="inlineStr">
        <is>
          <t>https://search.danawa.com/dsearch.php?query=%EC%9C%84%EB%8B%88%EC%95%84%20%EC%A0%9C%EC%8A%B5%EA%B8%B0</t>
        </is>
      </c>
      <c r="L33" s="14" t="inlineStr">
        <is>
          <t>2위:쿠팡=199,000원</t>
        </is>
      </c>
      <c r="M33" s="15" t="n">
        <v>0</v>
      </c>
      <c r="N33" s="16" t="inlineStr">
        <is>
          <t>위니아</t>
        </is>
      </c>
      <c r="O33" s="16" t="inlineStr">
        <is>
          <t>EDH10HNW(A)</t>
        </is>
      </c>
      <c r="P33" s="17" t="inlineStr">
        <is>
          <t>위니아 제습기 EDH10HNW(A)</t>
        </is>
      </c>
      <c r="Q33" s="16" t="inlineStr">
        <is>
          <t>10</t>
        </is>
      </c>
      <c r="R33" s="17" t="inlineStr">
        <is>
          <t>습도자동조절, 연속배수, 성에제거, 풍량조절</t>
        </is>
      </c>
      <c r="S33" s="18" t="n">
        <v>54</v>
      </c>
      <c r="T33" s="15" t="n"/>
      <c r="U33" s="15" t="n"/>
      <c r="V33" s="15" t="n"/>
      <c r="W33" s="15" t="n"/>
      <c r="X33" s="12" t="n"/>
      <c r="Y33" s="19" t="n"/>
      <c r="Z33" s="17" t="inlineStr">
        <is>
          <t>[신호/리드, 미검증] 쿠팡에 정식 판매 리스팅이 존재하며 약 199,000원대로 유통 중(2차 자료 기준). 쿠팡 외에도 SSG, G마켓, 롯데하이마트, 11번가, 다나와 등 주요 채널에 폭넓게 등재되어 유통 노출도가 높은 편 — 대중 유통형 모델이라는 신호. 다만 블로그/유튜브/네이버 2차 자료에서 이 모델의 '쿠팡 실제 리뷰 수·평점'을 직접 확인 가능한 자료는 확보되지 않음. 리뷰 콘텐츠 대부분은 노써치(스펙 리뷰), 가성비 추천 블로그(추천 TOP10 목록 포함) 등 스펙 소개형이 중심이며, 대량의 개별 사용후기 축적 신호는 뚜렷하지 않음. 인기 정도는 '유통 노출은 넓으나 리뷰 밀도 미확인' 수준의 리드로만 판단.</t>
        </is>
      </c>
      <c r="AA33" s="17" t="inlineStr">
        <is>
          <t>[신호/리드, 미검증] 명시적 반품·과장광고·성능불만 후기는 이번 2차 검색에서 발견되지 않음(무신호). 다만 스펙상 잠재 리스크 신호: (1) 제습효율 1.91, 에너지소비효율 3등급으로 '효율 보통 수준' — 고효율 대비 전기료 불만 여지. (2) 일일제습량 10L로 표기 적정면적(약 13~20평)이 자료마다 상이(13평 vs 20평대 거실) — 광고상 커버 면적 과장/오해 소지 주의. (3) 14kg 무게로 이동성 관련 체감 불만 가능성. 소음·냄새·고장 관련 구체적 불만 자료는 확인되지 않음(추가 쿠팡/네이버 리뷰 직접 확인 필요).</t>
        </is>
      </c>
    </row>
    <row r="34" ht="30" customHeight="1">
      <c r="A34" s="9" t="n"/>
      <c r="B34" s="9">
        <f>IF(OR(H34="",I34=""),"위너가입력필요",IF(OR(T34="",U34="",V34=""),"쿠팡검증필요",IF(OR(U34="로켓그로스",T34&lt;2,V34&lt;30,D34&lt;5),"제외",IF(AND(T34&gt;=2,U34="일반",V34&gt;=100,D34&gt;=12),"S",IF(AND(T34&gt;=2,U34="일반",V34&gt;=50,D34&gt;=8),"A",IF(AND(V34&gt;=30,T34&gt;=2,D34&gt;=5),"B","C"))))))</f>
        <v/>
      </c>
      <c r="C34" s="10">
        <f>IF(H34="","",ROUND(H34-I34-H34*0.17-M34,0))</f>
        <v/>
      </c>
      <c r="D34" s="11">
        <f>IF(OR(H34="",H34=0),"",ROUND(C34/H34*100,1))</f>
        <v/>
      </c>
      <c r="E34" s="10" t="n">
        <v>268795</v>
      </c>
      <c r="F34" s="10" t="n">
        <v>297467</v>
      </c>
      <c r="G34" s="10" t="n">
        <v>314225</v>
      </c>
      <c r="H34" s="12" t="n"/>
      <c r="I34" s="13" t="n">
        <v>223100</v>
      </c>
      <c r="J34" s="14" t="inlineStr">
        <is>
          <t>11번가</t>
        </is>
      </c>
      <c r="K34" s="14" t="inlineStr">
        <is>
          <t>https://search.danawa.com/dsearch.php?query=%EC%9C%84%EB%8B%88%EC%95%84%20%EC%A0%9C%EC%8A%B5%EA%B8%B0</t>
        </is>
      </c>
      <c r="L34" s="14" t="inlineStr">
        <is>
          <t>2위:롯데ON=223,110원</t>
        </is>
      </c>
      <c r="M34" s="15" t="n">
        <v>0</v>
      </c>
      <c r="N34" s="16" t="inlineStr">
        <is>
          <t>위니아</t>
        </is>
      </c>
      <c r="O34" s="16" t="inlineStr">
        <is>
          <t>DCE118SWJ(A)</t>
        </is>
      </c>
      <c r="P34" s="17" t="inlineStr">
        <is>
          <t>위니아 제습기 DCE118SWJ(A)</t>
        </is>
      </c>
      <c r="Q34" s="16" t="inlineStr">
        <is>
          <t>17</t>
        </is>
      </c>
      <c r="R34" s="17" t="inlineStr">
        <is>
          <t>습도자동조절, 연속배수, 상하자동회전, 풍량조절</t>
        </is>
      </c>
      <c r="S34" s="18" t="n">
        <v>21</v>
      </c>
      <c r="T34" s="15" t="n"/>
      <c r="U34" s="15" t="n"/>
      <c r="V34" s="15" t="n"/>
      <c r="W34" s="15" t="n"/>
      <c r="X34" s="12" t="n"/>
      <c r="Y34" s="19" t="n"/>
      <c r="Z34" s="17" t="inlineStr">
        <is>
          <t>쿠팡 직접 접근 불가로 확정 리뷰 수 미확인. [신호/리드] 2차 자료 기준으로 인기·판매 신호가 뚜렷함: 블로그/추천글에서 "로켓배송+연속배수+안심필터" 조합을 장마철 필수템으로 반복 언급하며 쿠팡 구매 경로를 안내. 당근 동네생활에는 "쿠팡 검색하다가" 제습기를 고민하는 소비자 글도 존재해 쿠팡 노출/검색 유입이 활발함을 시사. 다나와 통합 리뷰 기준 별점 4.8·리뷰 약 276개(쿠팡 단독 수치 아님, 전 채널 합산 추정치이므로 쿠팡 리뷰 수로 인용 금지). 11번가 등 타 오픈마켓에도 동일 모델이 병행 판매됨.</t>
        </is>
      </c>
      <c r="AA34" s="17" t="inlineStr">
        <is>
          <t>[신호/리드] 성능불만 자체는 낮은 편이나 주의 신호 존재. (1) 물통 용량 4.0L로 작아 자주 비워야 함 — 연속배수 미사용 시 불편, 반품/불만 소지. (2) 강(强) 모드에서 모터 소음이 다소 큼 — 침실/야간 사용자 불만 가능. (3) 마케팅에서 "안심필터=공기청정" 표현을 강조 — 정식 공기청정 성능이 아닌 먼지필터 수준일 수 있어 과장광고 오해 소지(확인필요). 명시적 대량 반품/허위광고 신고 사례는 2차 자료에서 확인되지 않음.</t>
        </is>
      </c>
    </row>
    <row r="35" ht="30" customHeight="1">
      <c r="A35" s="9" t="n"/>
      <c r="B35" s="9">
        <f>IF(OR(H35="",I35=""),"위너가입력필요",IF(OR(T35="",U35="",V35=""),"쿠팡검증필요",IF(OR(U35="로켓그로스",T35&lt;2,V35&lt;30,D35&lt;5),"제외",IF(AND(T35&gt;=2,U35="일반",V35&gt;=100,D35&gt;=12),"S",IF(AND(T35&gt;=2,U35="일반",V35&gt;=50,D35&gt;=8),"A",IF(AND(V35&gt;=30,T35&gt;=2,D35&gt;=5),"B","C"))))))</f>
        <v/>
      </c>
      <c r="C35" s="10">
        <f>IF(H35="","",ROUND(H35-I35-H35*0.17-M35,0))</f>
        <v/>
      </c>
      <c r="D35" s="11">
        <f>IF(OR(H35="",H35=0),"",ROUND(C35/H35*100,1))</f>
        <v/>
      </c>
      <c r="E35" s="10" t="n">
        <v>83783</v>
      </c>
      <c r="F35" s="10" t="n">
        <v>92720</v>
      </c>
      <c r="G35" s="10" t="n">
        <v>97944</v>
      </c>
      <c r="H35" s="12" t="n"/>
      <c r="I35" s="13" t="n">
        <v>69540</v>
      </c>
      <c r="J35" s="14" t="inlineStr">
        <is>
          <t>옥션</t>
        </is>
      </c>
      <c r="K35" s="14" t="inlineStr">
        <is>
          <t>https://search.danawa.com/dsearch.php?query=%EC%8B%A0%EC%9D%BC%20%EC%A0%9C%EC%8A%B5%EA%B8%B0</t>
        </is>
      </c>
      <c r="L35" s="14" t="inlineStr">
        <is>
          <t>2위:쿠팡=80,100원</t>
        </is>
      </c>
      <c r="M35" s="15" t="n">
        <v>0</v>
      </c>
      <c r="N35" s="16" t="inlineStr">
        <is>
          <t>신일</t>
        </is>
      </c>
      <c r="O35" s="16" t="inlineStr">
        <is>
          <t>SDH-WIN326KP</t>
        </is>
      </c>
      <c r="P35" s="17" t="inlineStr">
        <is>
          <t>신일전자 SDH-WIN326KP</t>
        </is>
      </c>
      <c r="Q35" s="16" t="inlineStr">
        <is>
          <t>0.102</t>
        </is>
      </c>
      <c r="R35" s="17" t="inlineStr">
        <is>
          <t>만수알림, 성에제거 (소형 미니 제습기)</t>
        </is>
      </c>
      <c r="S35" s="18" t="n">
        <v>199</v>
      </c>
      <c r="T35" s="15" t="n"/>
      <c r="U35" s="15" t="n"/>
      <c r="V35" s="15" t="n"/>
      <c r="W35" s="15" t="n"/>
      <c r="X35" s="12" t="n"/>
      <c r="Y35" s="19" t="n"/>
      <c r="Z35" s="17" t="inlineStr">
        <is>
          <t>쿠팡 자체 리뷰 수는 직접 확인 불가(쿠팡 페이지 접근 불가). 2차 자료 기준 신호/리드 수준: 다나와 통합 상품리뷰 약 28건·별점 4.3, 신세계몰 약 16건, GS샵 소수(1~4건) 등 여러 채널에 리뷰가 분산 존재. 오늘의집 '신일제습기' 관련 71건 노출 등 브랜드 단위 노출은 있으나 '이 모델 단독'의 블로그/유튜브 심층 후기는 검색에서 확인되지 않음. 종합하면 폭발적 인기라기보다 소형·저가 미니제습기 카테고리의 '중간 정도 노출/리뷰' 신호로 보이며, 쿠팡 리뷰 수는 추정하지 말고 실제 페이지 확인 필요.</t>
        </is>
      </c>
      <c r="AA35" s="17" t="inlineStr">
        <is>
          <t>모델 개별 반품/과장광고 사례는 검색에서 직접 확인 안 됨. 다만 카테고리(미니 펠티어 제습기) 공통 위험 신호 존재: (1) 성능 불만 가능성 — 펠티어 방식은 일일 제습량이 낮아(본 모델 약 0.102L/일) 원룸·거실 등 넓은 공간에서 '무쓸모/물먹는하마 수준'이라는 비판적 리뷰 다수(SOTHEB 등). (2) 과장광고 리스크 — '원룸/베란다/4계절 제습' 마케팅 대비 실제 제습 능력 낮아 기대불일치→저평점·반품 유발 소지. (3) 화장실·옷장 등 협소공간 한정 용도로 포지셔닝해야 클레임 최소화. 소싱 시 상세페이지 성능 표기 과장 여부 및 쿠팡 실제 별점/반품평 직접 검수 권장.</t>
        </is>
      </c>
    </row>
    <row r="36" ht="30" customHeight="1">
      <c r="A36" s="9" t="n"/>
      <c r="B36" s="9">
        <f>IF(OR(H36="",I36=""),"위너가입력필요",IF(OR(T36="",U36="",V36=""),"쿠팡검증필요",IF(OR(U36="로켓그로스",T36&lt;2,V36&lt;30,D36&lt;5),"제외",IF(AND(T36&gt;=2,U36="일반",V36&gt;=100,D36&gt;=12),"S",IF(AND(T36&gt;=2,U36="일반",V36&gt;=50,D36&gt;=8),"A",IF(AND(V36&gt;=30,T36&gt;=2,D36&gt;=5),"B","C"))))))</f>
        <v/>
      </c>
      <c r="C36" s="10">
        <f>IF(H36="","",ROUND(H36-I36-H36*0.17-M36,0))</f>
        <v/>
      </c>
      <c r="D36" s="11">
        <f>IF(OR(H36="",H36=0),"",ROUND(C36/H36*100,1))</f>
        <v/>
      </c>
      <c r="E36" s="10" t="n">
        <v>181988</v>
      </c>
      <c r="F36" s="10" t="n">
        <v>201400</v>
      </c>
      <c r="G36" s="10" t="n">
        <v>212746</v>
      </c>
      <c r="H36" s="12" t="n"/>
      <c r="I36" s="13" t="n">
        <v>151050</v>
      </c>
      <c r="J36" s="14" t="inlineStr">
        <is>
          <t>쿠팡</t>
        </is>
      </c>
      <c r="K36" s="14" t="inlineStr">
        <is>
          <t>https://search.danawa.com/dsearch.php?query=%EC%8B%A0%EC%9D%BC%20%EC%A0%9C%EC%8A%B5%EA%B8%B0</t>
        </is>
      </c>
      <c r="L36" s="14" t="inlineStr">
        <is>
          <t>⚠쿠팡이최저=마진X / 2위:11번가=161,740원 (카드할인 전용가)</t>
        </is>
      </c>
      <c r="M36" s="15" t="n">
        <v>0</v>
      </c>
      <c r="N36" s="16" t="inlineStr">
        <is>
          <t>신일</t>
        </is>
      </c>
      <c r="O36" s="16" t="inlineStr">
        <is>
          <t>SDH-C06SS</t>
        </is>
      </c>
      <c r="P36" s="17" t="inlineStr">
        <is>
          <t>신일전자 SDH-C06SS</t>
        </is>
      </c>
      <c r="Q36" s="16" t="inlineStr">
        <is>
          <t>6</t>
        </is>
      </c>
      <c r="R36" s="17" t="inlineStr">
        <is>
          <t>습도자동조절, 내부건조, 연속배수</t>
        </is>
      </c>
      <c r="S36" s="18" t="n">
        <v>150</v>
      </c>
      <c r="T36" s="15" t="n"/>
      <c r="U36" s="15" t="n"/>
      <c r="V36" s="15" t="n"/>
      <c r="W36" s="15" t="n"/>
      <c r="X36" s="12" t="n"/>
      <c r="Y36" s="19" t="n"/>
      <c r="Z36" s="17" t="inlineStr"/>
      <c r="AA36" s="17" t="inlineStr"/>
    </row>
    <row r="37" ht="30" customHeight="1">
      <c r="A37" s="9" t="n"/>
      <c r="B37" s="9">
        <f>IF(OR(H37="",I37=""),"위너가입력필요",IF(OR(T37="",U37="",V37=""),"쿠팡검증필요",IF(OR(U37="로켓그로스",T37&lt;2,V37&lt;30,D37&lt;5),"제외",IF(AND(T37&gt;=2,U37="일반",V37&gt;=100,D37&gt;=12),"S",IF(AND(T37&gt;=2,U37="일반",V37&gt;=50,D37&gt;=8),"A",IF(AND(V37&gt;=30,T37&gt;=2,D37&gt;=5),"B","C"))))))</f>
        <v/>
      </c>
      <c r="C37" s="10">
        <f>IF(H37="","",ROUND(H37-I37-H37*0.17-M37,0))</f>
        <v/>
      </c>
      <c r="D37" s="11">
        <f>IF(OR(H37="",H37=0),"",ROUND(C37/H37*100,1))</f>
        <v/>
      </c>
      <c r="E37" s="10" t="n">
        <v>259373</v>
      </c>
      <c r="F37" s="10" t="n">
        <v>287040</v>
      </c>
      <c r="G37" s="10" t="n">
        <v>303211</v>
      </c>
      <c r="H37" s="12" t="n"/>
      <c r="I37" s="13" t="n">
        <v>215280</v>
      </c>
      <c r="J37" s="14" t="inlineStr">
        <is>
          <t>옥션</t>
        </is>
      </c>
      <c r="K37" s="14" t="inlineStr">
        <is>
          <t>https://search.danawa.com/dsearch.php?query=%EC%8B%A0%EC%9D%BC%20%EC%A0%9C%EC%8A%B5%EA%B8%B0</t>
        </is>
      </c>
      <c r="L37" s="14" t="inlineStr">
        <is>
          <t>2위:쿠팡=216,000원</t>
        </is>
      </c>
      <c r="M37" s="15" t="n">
        <v>0</v>
      </c>
      <c r="N37" s="16" t="inlineStr">
        <is>
          <t>신일</t>
        </is>
      </c>
      <c r="O37" s="16" t="inlineStr">
        <is>
          <t>SDH-PM230</t>
        </is>
      </c>
      <c r="P37" s="17" t="inlineStr">
        <is>
          <t>신일전자 SDH-PM230</t>
        </is>
      </c>
      <c r="Q37" s="16" t="inlineStr">
        <is>
          <t>17</t>
        </is>
      </c>
      <c r="R37" s="17" t="inlineStr">
        <is>
          <t>습도자동조절, 내부건조, 연속배수, 풍량조절</t>
        </is>
      </c>
      <c r="S37" s="18" t="n">
        <v>91</v>
      </c>
      <c r="T37" s="15" t="n"/>
      <c r="U37" s="15" t="n"/>
      <c r="V37" s="15" t="n"/>
      <c r="W37" s="15" t="n"/>
      <c r="X37" s="12" t="n"/>
      <c r="Y37" s="19" t="n"/>
      <c r="Z37" s="17" t="inlineStr"/>
      <c r="AA37" s="17" t="inlineStr"/>
    </row>
    <row r="38" ht="30" customHeight="1">
      <c r="A38" s="9" t="n"/>
      <c r="B38" s="9">
        <f>IF(OR(H38="",I38=""),"위너가입력필요",IF(OR(T38="",U38="",V38=""),"쿠팡검증필요",IF(OR(U38="로켓그로스",T38&lt;2,V38&lt;30,D38&lt;5),"제외",IF(AND(T38&gt;=2,U38="일반",V38&gt;=100,D38&gt;=12),"S",IF(AND(T38&gt;=2,U38="일반",V38&gt;=50,D38&gt;=8),"A",IF(AND(V38&gt;=30,T38&gt;=2,D38&gt;=5),"B","C"))))))</f>
        <v/>
      </c>
      <c r="C38" s="10">
        <f>IF(H38="","",ROUND(H38-I38-H38*0.17-M38,0))</f>
        <v/>
      </c>
      <c r="D38" s="11">
        <f>IF(OR(H38="",H38=0),"",ROUND(C38/H38*100,1))</f>
        <v/>
      </c>
      <c r="E38" s="10" t="n">
        <v>287867</v>
      </c>
      <c r="F38" s="10" t="n">
        <v>318573</v>
      </c>
      <c r="G38" s="10" t="n">
        <v>336521</v>
      </c>
      <c r="H38" s="12" t="n"/>
      <c r="I38" s="13" t="n">
        <v>238930</v>
      </c>
      <c r="J38" s="14" t="inlineStr">
        <is>
          <t>쿠팡</t>
        </is>
      </c>
      <c r="K38" s="14" t="inlineStr">
        <is>
          <t>https://search.danawa.com/dsearch.php?query=%EC%8B%A0%EC%9D%BC%20%EC%A0%9C%EC%8A%B5%EA%B8%B0</t>
        </is>
      </c>
      <c r="L38" s="14" t="inlineStr">
        <is>
          <t>⚠쿠팡이최저=마진X / 2위:롯데ON=297,000원</t>
        </is>
      </c>
      <c r="M38" s="15" t="n">
        <v>0</v>
      </c>
      <c r="N38" s="16" t="inlineStr">
        <is>
          <t>신일</t>
        </is>
      </c>
      <c r="O38" s="16" t="inlineStr">
        <is>
          <t>SDH-170SS</t>
        </is>
      </c>
      <c r="P38" s="17" t="inlineStr">
        <is>
          <t>신일전자 SDH-170SS</t>
        </is>
      </c>
      <c r="Q38" s="16" t="inlineStr">
        <is>
          <t>17</t>
        </is>
      </c>
      <c r="R38" s="17" t="inlineStr">
        <is>
          <t>습도자동조절, 내부건조, 연속배수, 성에제거</t>
        </is>
      </c>
      <c r="S38" s="18" t="n">
        <v>188</v>
      </c>
      <c r="T38" s="15" t="n"/>
      <c r="U38" s="15" t="n"/>
      <c r="V38" s="15" t="n"/>
      <c r="W38" s="15" t="n"/>
      <c r="X38" s="12" t="n"/>
      <c r="Y38" s="19" t="n"/>
      <c r="Z38" s="17" t="inlineStr"/>
      <c r="AA38" s="17" t="inlineStr"/>
    </row>
    <row r="39" ht="30" customHeight="1">
      <c r="A39" s="9" t="n"/>
      <c r="B39" s="9">
        <f>IF(OR(H39="",I39=""),"위너가입력필요",IF(OR(T39="",U39="",V39=""),"쿠팡검증필요",IF(OR(U39="로켓그로스",T39&lt;2,V39&lt;30,D39&lt;5),"제외",IF(AND(T39&gt;=2,U39="일반",V39&gt;=100,D39&gt;=12),"S",IF(AND(T39&gt;=2,U39="일반",V39&gt;=50,D39&gt;=8),"A",IF(AND(V39&gt;=30,T39&gt;=2,D39&gt;=5),"B","C"))))))</f>
        <v/>
      </c>
      <c r="C39" s="10">
        <f>IF(H39="","",ROUND(H39-I39-H39*0.17-M39,0))</f>
        <v/>
      </c>
      <c r="D39" s="11">
        <f>IF(OR(H39="",H39=0),"",ROUND(C39/H39*100,1))</f>
        <v/>
      </c>
      <c r="E39" s="10" t="n">
        <v>359036</v>
      </c>
      <c r="F39" s="10" t="n">
        <v>397333</v>
      </c>
      <c r="G39" s="10" t="n">
        <v>419718</v>
      </c>
      <c r="H39" s="12" t="n"/>
      <c r="I39" s="13" t="n">
        <v>298000</v>
      </c>
      <c r="J39" s="14" t="inlineStr">
        <is>
          <t>ohda 네이버페이</t>
        </is>
      </c>
      <c r="K39" s="14" t="inlineStr">
        <is>
          <t>https://search.danawa.com/dsearch.php?query=%EC%8B%A0%EC%9D%BC%20%EC%A0%9C%EC%8A%B5%EA%B8%B0</t>
        </is>
      </c>
      <c r="L39" s="14" t="inlineStr">
        <is>
          <t>2위:쿠팡=305,000원</t>
        </is>
      </c>
      <c r="M39" s="15" t="n">
        <v>0</v>
      </c>
      <c r="N39" s="16" t="inlineStr">
        <is>
          <t>신일</t>
        </is>
      </c>
      <c r="O39" s="16" t="inlineStr">
        <is>
          <t>SDH-SD19ERE</t>
        </is>
      </c>
      <c r="P39" s="17" t="inlineStr">
        <is>
          <t>신일전자 SDH-SD19ERE</t>
        </is>
      </c>
      <c r="Q39" s="16" t="inlineStr">
        <is>
          <t>18</t>
        </is>
      </c>
      <c r="R39" s="17" t="inlineStr">
        <is>
          <t>습도자동조절, 내부건조, 연속배수, 풍량조절</t>
        </is>
      </c>
      <c r="S39" s="18" t="n">
        <v>189</v>
      </c>
      <c r="T39" s="15" t="n"/>
      <c r="U39" s="15" t="n"/>
      <c r="V39" s="15" t="n"/>
      <c r="W39" s="15" t="n"/>
      <c r="X39" s="12" t="n"/>
      <c r="Y39" s="19" t="n"/>
      <c r="Z39" s="17" t="inlineStr">
        <is>
          <t>[신호/리드, 검증 아님] 쿠팡 자체 리뷰 수·별점은 직접 확인 불가. 2차 자료 신호: (1) 다나와 가격비교에 등록되어 74개 이상 판매처가 잡히는 유통량 많은 모델 → 쿠팡 포함 대형몰 다수 입점 신호. (2) 2025년 6월경 등록된 최신형(2025년형)으로 여름 시즌 노출 상승. (3) GS SHOP·롯데ON·롯데아이몰·SSG·11번가 등 홈쇼핑/대형몰에 폭넓게 유통 → 브랜드 인지도 기반 판매 볼륨 신호. (4) 한 소형몰(오흐다)에서 별점 5.00·리뷰 3건 수준으로 표기 → 아직 개별 몰 리뷰 축적은 초기 단계일 가능성. 결론: '신일 18L 상부물통' 제습기 라인 전반은 쿠팡에서 인기 카테고리이나, 이 특정 SKU의 쿠팡 리뷰 다수 여부는 미확인 리드 상태.</t>
        </is>
      </c>
      <c r="AA39" s="17" t="inlineStr">
        <is>
          <t>[신호/리드] 뚜렷한 반품·과장광고·불량 신고성 자료는 검색상 발견되지 않음(무신호). 잠재 위험 신호: (1) 성능/소음 — 신일 동급 17~18L 제품 후기에서 '내부건조(건조모드) 작동 시 소음·바람이 확실히 커진다'는 지적 반복 → 야간 사용 불만 소지. (2) 스펙 최저소음 50dB는 제습기 평균 대비 낮지 않아 소음 민감 구매자 클레임 가능. (3) 신일 브랜드 제습기 전반은 저가~중가 포지션으로 '가성비' 마케팅 문구(멋진 디자인+성능 강조 홍보성 기사 존재)가 많아 과장광고 체감 리스크 상존 → 실사용 제습량/체감 성능 기대치 관리 필요. 전반적으로 고위험 신호는 없으나 소음·건조모드가 주된 불만 벡터로 모니터링 권장.</t>
        </is>
      </c>
    </row>
    <row r="40" ht="30" customHeight="1">
      <c r="A40" s="9" t="n"/>
      <c r="B40" s="9">
        <f>IF(OR(H40="",I40=""),"위너가입력필요",IF(OR(T40="",U40="",V40=""),"쿠팡검증필요",IF(OR(U40="로켓그로스",T40&lt;2,V40&lt;30,D40&lt;5),"제외",IF(AND(T40&gt;=2,U40="일반",V40&gt;=100,D40&gt;=12),"S",IF(AND(T40&gt;=2,U40="일반",V40&gt;=50,D40&gt;=8),"A",IF(AND(V40&gt;=30,T40&gt;=2,D40&gt;=5),"B","C"))))))</f>
        <v/>
      </c>
      <c r="C40" s="10">
        <f>IF(H40="","",ROUND(H40-I40-H40*0.17-M40,0))</f>
        <v/>
      </c>
      <c r="D40" s="11">
        <f>IF(OR(H40="",H40=0),"",ROUND(C40/H40*100,1))</f>
        <v/>
      </c>
      <c r="E40" s="10" t="n">
        <v>696952</v>
      </c>
      <c r="F40" s="10" t="n">
        <v>771293</v>
      </c>
      <c r="G40" s="10" t="n">
        <v>814746</v>
      </c>
      <c r="H40" s="12" t="n"/>
      <c r="I40" s="13" t="n">
        <v>578470</v>
      </c>
      <c r="J40" s="14" t="inlineStr">
        <is>
          <t>11번가</t>
        </is>
      </c>
      <c r="K40" s="14" t="inlineStr">
        <is>
          <t>https://search.danawa.com/dsearch.php?query=%EC%8B%A0%EC%9D%BC%20%EC%A0%9C%EC%8A%B5%EA%B8%B0</t>
        </is>
      </c>
      <c r="L40" s="14" t="inlineStr">
        <is>
          <t>2위:롯데ON=578,480원</t>
        </is>
      </c>
      <c r="M40" s="15" t="n">
        <v>0</v>
      </c>
      <c r="N40" s="16" t="inlineStr">
        <is>
          <t>신일</t>
        </is>
      </c>
      <c r="O40" s="16" t="inlineStr">
        <is>
          <t>SDH-BPM600</t>
        </is>
      </c>
      <c r="P40" s="17" t="inlineStr">
        <is>
          <t>신일전자 SDH-BPM600</t>
        </is>
      </c>
      <c r="Q40" s="16" t="inlineStr">
        <is>
          <t>60</t>
        </is>
      </c>
      <c r="R40" s="17" t="inlineStr">
        <is>
          <t>습도자동조절, 자동배수(펌프형), 연속배수 (대용량 업소용)</t>
        </is>
      </c>
      <c r="S40" s="18" t="n">
        <v>61</v>
      </c>
      <c r="T40" s="15" t="n"/>
      <c r="U40" s="15" t="n"/>
      <c r="V40" s="15" t="n"/>
      <c r="W40" s="15" t="n"/>
      <c r="X40" s="12" t="n"/>
      <c r="Y40" s="19" t="n"/>
      <c r="Z40" s="17" t="inlineStr"/>
      <c r="AA40" s="17" t="inlineStr"/>
    </row>
    <row r="41" ht="30" customHeight="1">
      <c r="A41" s="9" t="n"/>
      <c r="B41" s="9">
        <f>IF(OR(H41="",I41=""),"위너가입력필요",IF(OR(T41="",U41="",V41=""),"쿠팡검증필요",IF(OR(U41="로켓그로스",T41&lt;2,V41&lt;30,D41&lt;5),"제외",IF(AND(T41&gt;=2,U41="일반",V41&gt;=100,D41&gt;=12),"S",IF(AND(T41&gt;=2,U41="일반",V41&gt;=50,D41&gt;=8),"A",IF(AND(V41&gt;=30,T41&gt;=2,D41&gt;=5),"B","C"))))))</f>
        <v/>
      </c>
      <c r="C41" s="10">
        <f>IF(H41="","",ROUND(H41-I41-H41*0.17-M41,0))</f>
        <v/>
      </c>
      <c r="D41" s="11">
        <f>IF(OR(H41="",H41=0),"",ROUND(C41/H41*100,1))</f>
        <v/>
      </c>
      <c r="E41" s="10" t="n">
        <v>153373</v>
      </c>
      <c r="F41" s="10" t="n">
        <v>169733</v>
      </c>
      <c r="G41" s="10" t="n">
        <v>179296</v>
      </c>
      <c r="H41" s="12" t="n"/>
      <c r="I41" s="13" t="n">
        <v>127300</v>
      </c>
      <c r="J41" s="14" t="inlineStr">
        <is>
          <t>쿠팡</t>
        </is>
      </c>
      <c r="K41" s="14" t="inlineStr">
        <is>
          <t>https://search.danawa.com/dsearch.php?query=%EC%BF%A0%EC%BF%A0%20%EC%A0%9C%EC%8A%B5%EA%B8%B0</t>
        </is>
      </c>
      <c r="L41" s="14" t="inlineStr">
        <is>
          <t>⚠쿠팡이최저=마진X / 2위:롯데ON=135,360원</t>
        </is>
      </c>
      <c r="M41" s="15" t="n">
        <v>0</v>
      </c>
      <c r="N41" s="16" t="inlineStr">
        <is>
          <t>쿠쿠</t>
        </is>
      </c>
      <c r="O41" s="16" t="inlineStr">
        <is>
          <t>DH-V06201EB</t>
        </is>
      </c>
      <c r="P41" s="17" t="inlineStr">
        <is>
          <t>쿠쿠 인스퓨어 DH-V06201EB</t>
        </is>
      </c>
      <c r="Q41" s="16" t="inlineStr">
        <is>
          <t>5.5</t>
        </is>
      </c>
      <c r="R41" s="17" t="inlineStr">
        <is>
          <t>습도자동조절, 내부건조, 연속배수, 성에제거</t>
        </is>
      </c>
      <c r="S41" s="18" t="n">
        <v>162</v>
      </c>
      <c r="T41" s="15" t="n"/>
      <c r="U41" s="15" t="n"/>
      <c r="V41" s="15" t="n"/>
      <c r="W41" s="15" t="n"/>
      <c r="X41" s="12" t="n"/>
      <c r="Y41" s="19" t="n"/>
      <c r="Z41" s="17" t="inlineStr">
        <is>
          <t>[신호/리드, 미검증] 쿠팡 자체 후기 수·별점은 직접 확인 불가. 2차 자료 기준 간접 신호만 존재: (1) 다나와 통합검색상 상품리뷰 약 15건 / 별점 4.6점(쿠팡 아님, 가격비교 집계) — 리뷰 볼륨은 크지 않은 편. (2) 네이버 공식 판매처 소비자평가 4.82/5점(고평점이나 표본 수 미확인). (3) 쿠쿠 공식몰 리뷰 4건으로 매우 적음. (4) 쿠팡 판매(약 122,200원, 익일배송) 및 카카오 선물하기 등 주요 채널 입점은 확인됨. 종합: '고평점이지만 리뷰 축적량은 아직 적은' 신흥/중소볼륨 상품 신호. 폭발적 인기 베스트셀러 신호는 발견되지 않음.</t>
        </is>
      </c>
      <c r="AA41" s="17" t="inlineStr">
        <is>
          <t>[위험 신호] 가장 반복되는 불만은 '소음'. 언론/블로그 후기(다음 뉴스, 블로그)에서 케이스가 흔들려 소음 발생, 밤 사용 시 시끄러움, 예상보다 훨씬 시끄러움, 내부에서 흔들리는 소리 등 소음·마감 품질 불만이 다수. 성능(제습력) 자체는 대체로 긍정적이어서 '성능 좋지만 소음 불만' 구도. 과장광고나 대량 반품 관련 명시적 신호는 이번 검색에서 확인되지 않음(→ 실제 쿠팡 리뷰에서 소음발 반품/환불 언급 여부 추가 확인 필요). 유의: 초기 검색에서 이 모델을 '정수기'로 오인한 자료가 섞임 — 실제로는 제습기이므로 정수기 필터/멤버십 관련 리스크는 무관.</t>
        </is>
      </c>
    </row>
    <row r="42" ht="30" customHeight="1">
      <c r="A42" s="9" t="n"/>
      <c r="B42" s="9">
        <f>IF(OR(H42="",I42=""),"위너가입력필요",IF(OR(T42="",U42="",V42=""),"쿠팡검증필요",IF(OR(U42="로켓그로스",T42&lt;2,V42&lt;30,D42&lt;5),"제외",IF(AND(T42&gt;=2,U42="일반",V42&gt;=100,D42&gt;=12),"S",IF(AND(T42&gt;=2,U42="일반",V42&gt;=50,D42&gt;=8),"A",IF(AND(V42&gt;=30,T42&gt;=2,D42&gt;=5),"B","C"))))))</f>
        <v/>
      </c>
      <c r="C42" s="10">
        <f>IF(H42="","",ROUND(H42-I42-H42*0.17-M42,0))</f>
        <v/>
      </c>
      <c r="D42" s="11">
        <f>IF(OR(H42="",H42=0),"",ROUND(C42/H42*100,1))</f>
        <v/>
      </c>
      <c r="E42" s="10" t="n">
        <v>289157</v>
      </c>
      <c r="F42" s="10" t="n">
        <v>320000</v>
      </c>
      <c r="G42" s="10" t="n">
        <v>338028</v>
      </c>
      <c r="H42" s="12" t="n"/>
      <c r="I42" s="13" t="n">
        <v>240000</v>
      </c>
      <c r="J42" s="14" t="inlineStr">
        <is>
          <t>쿠쿠몰</t>
        </is>
      </c>
      <c r="K42" s="14" t="inlineStr">
        <is>
          <t>https://search.danawa.com/dsearch.php?query=%EC%BF%A0%EC%BF%A0%20%EC%A0%9C%EC%8A%B5%EA%B8%B0</t>
        </is>
      </c>
      <c r="L42" s="14" t="inlineStr">
        <is>
          <t>2위:SSG.COM=245,820원(현대카드 전용가)</t>
        </is>
      </c>
      <c r="M42" s="15" t="n">
        <v>0</v>
      </c>
      <c r="N42" s="16" t="inlineStr">
        <is>
          <t>쿠쿠</t>
        </is>
      </c>
      <c r="O42" s="16" t="inlineStr">
        <is>
          <t>DH-Y1652FNW</t>
        </is>
      </c>
      <c r="P42" s="17" t="inlineStr">
        <is>
          <t>쿠쿠 인스퓨어 DH-Y1652FNW</t>
        </is>
      </c>
      <c r="Q42" s="16" t="inlineStr">
        <is>
          <t>16</t>
        </is>
      </c>
      <c r="R42" s="17" t="inlineStr">
        <is>
          <t>습도자동조절, 성에제거, 풍량조절</t>
        </is>
      </c>
      <c r="S42" s="18" t="n">
        <v>56</v>
      </c>
      <c r="T42" s="15" t="n"/>
      <c r="U42" s="15" t="n"/>
      <c r="V42" s="15" t="n"/>
      <c r="W42" s="15" t="n"/>
      <c r="X42" s="12" t="n"/>
      <c r="Y42" s="19" t="n"/>
      <c r="Z42" s="17" t="inlineStr">
        <is>
          <t>신호/리드(확정 아님): DH-Y1652FNW 자체의 쿠팡 직접 후기는 2차 자료에서 거의 노출되지 않음. 다만 사실상 동일 사양의 형제 모델인 DH-YNL1652FEB(어스베이지)가 쿠팡에서 별점 약 4.6점·리뷰 약 147개로 언급되어(수치는 미검증 리드), 인스퓨어 16L 초슬림 라인 자체는 쿠팡에서 어느 정도 판매·리뷰가 형성된 인기 라인으로 추정. 다나와 기준 DH-Y1652FNW는 별점 4.5점·리뷰 6개 수준으로 개별 채널 리뷰 볼륨은 아직 얇음. 정리: '라인 인기 있음, 개별 모델번호 리뷰는 소량' 신호.</t>
        </is>
      </c>
      <c r="AA42" s="17" t="inlineStr">
        <is>
          <t>주요 위험 신호는 소음: 다수 2차 기사·후기에서 '케이스 흔들림 소음', '밤에 시끄러움', '예상보다 훨씬 시끄러움', '내부 흔들리는 소리' 등 소음·마감 불만이 반복 제기됨(다음 뉴스 등). 가격 저항 요인도 있음 - 공식가 약 49.9만원으로 캐리어(약 27만원대)·위닉스(약 40만원대) 동급 대비 고가라 '가격 대비 소음' 불만이 반품/저평가 리뷰로 이어질 수 있음. 반품은 고객변심 시 수령 7일 이내·배송비 소비자 부담(일반 조건). 과장광고성 명확한 신호는 발견되지 않음(성능·제습력 자체는 대체로 호평). 종합: 성능·디자인 만족 vs 소음·고가 불만의 양극 구조.</t>
        </is>
      </c>
    </row>
    <row r="43" ht="30" customHeight="1">
      <c r="A43" s="9" t="n"/>
      <c r="B43" s="9">
        <f>IF(OR(H43="",I43=""),"위너가입력필요",IF(OR(T43="",U43="",V43=""),"쿠팡검증필요",IF(OR(U43="로켓그로스",T43&lt;2,V43&lt;30,D43&lt;5),"제외",IF(AND(T43&gt;=2,U43="일반",V43&gt;=100,D43&gt;=12),"S",IF(AND(T43&gt;=2,U43="일반",V43&gt;=50,D43&gt;=8),"A",IF(AND(V43&gt;=30,T43&gt;=2,D43&gt;=5),"B","C"))))))</f>
        <v/>
      </c>
      <c r="C43" s="10">
        <f>IF(H43="","",ROUND(H43-I43-H43*0.17-M43,0))</f>
        <v/>
      </c>
      <c r="D43" s="11">
        <f>IF(OR(H43="",H43=0),"",ROUND(C43/H43*100,1))</f>
        <v/>
      </c>
      <c r="E43" s="10" t="n">
        <v>490349</v>
      </c>
      <c r="F43" s="10" t="n">
        <v>542653</v>
      </c>
      <c r="G43" s="10" t="n">
        <v>573225</v>
      </c>
      <c r="H43" s="12" t="n"/>
      <c r="I43" s="13" t="n">
        <v>406990</v>
      </c>
      <c r="J43" s="14" t="inlineStr">
        <is>
          <t>11번가</t>
        </is>
      </c>
      <c r="K43" s="14" t="inlineStr">
        <is>
          <t>https://search.danawa.com/dsearch.php?query=%EC%BF%A0%EC%BF%A0%20%EC%A0%9C%EC%8A%B5%EA%B8%B0</t>
        </is>
      </c>
      <c r="L43" s="14" t="inlineStr">
        <is>
          <t>2위:옥션=407,620원</t>
        </is>
      </c>
      <c r="M43" s="15" t="n">
        <v>0</v>
      </c>
      <c r="N43" s="16" t="inlineStr">
        <is>
          <t>쿠쿠</t>
        </is>
      </c>
      <c r="O43" s="16" t="inlineStr">
        <is>
          <t>DH-X22721EB</t>
        </is>
      </c>
      <c r="P43" s="17" t="inlineStr">
        <is>
          <t>쿠쿠 인스퓨어 DH-X22721EB</t>
        </is>
      </c>
      <c r="Q43" s="16" t="inlineStr">
        <is>
          <t>21.7</t>
        </is>
      </c>
      <c r="R43" s="17" t="inlineStr">
        <is>
          <t>습도자동조절, 연속배수, 풍량조절</t>
        </is>
      </c>
      <c r="S43" s="18" t="n">
        <v>25</v>
      </c>
      <c r="T43" s="15" t="n"/>
      <c r="U43" s="15" t="n"/>
      <c r="V43" s="15" t="n"/>
      <c r="W43" s="15" t="n"/>
      <c r="X43" s="12" t="n"/>
      <c r="Y43" s="19" t="n"/>
      <c r="Z43" s="17" t="inlineStr"/>
      <c r="AA43" s="17" t="inlineStr"/>
    </row>
    <row r="44" ht="30" customHeight="1">
      <c r="A44" s="9" t="n"/>
      <c r="B44" s="9">
        <f>IF(OR(H44="",I44=""),"위너가입력필요",IF(OR(T44="",U44="",V44=""),"쿠팡검증필요",IF(OR(U44="로켓그로스",T44&lt;2,V44&lt;30,D44&lt;5),"제외",IF(AND(T44&gt;=2,U44="일반",V44&gt;=100,D44&gt;=12),"S",IF(AND(T44&gt;=2,U44="일반",V44&gt;=50,D44&gt;=8),"A",IF(AND(V44&gt;=30,T44&gt;=2,D44&gt;=5),"B","C"))))))</f>
        <v/>
      </c>
      <c r="C44" s="10">
        <f>IF(H44="","",ROUND(H44-I44-H44*0.17-M44,0))</f>
        <v/>
      </c>
      <c r="D44" s="11">
        <f>IF(OR(H44="",H44=0),"",ROUND(C44/H44*100,1))</f>
        <v/>
      </c>
      <c r="E44" s="10" t="n">
        <v>599398</v>
      </c>
      <c r="F44" s="10" t="n">
        <v>663333</v>
      </c>
      <c r="G44" s="10" t="n">
        <v>700704</v>
      </c>
      <c r="H44" s="12" t="n"/>
      <c r="I44" s="13" t="n">
        <v>497500</v>
      </c>
      <c r="J44" s="14" t="inlineStr">
        <is>
          <t>11번가</t>
        </is>
      </c>
      <c r="K44" s="14" t="inlineStr">
        <is>
          <t>https://search.danawa.com/dsearch.php?query=%EC%BF%A0%EC%BF%A0%20%EC%A0%9C%EC%8A%B5%EA%B8%B0</t>
        </is>
      </c>
      <c r="L44" s="14" t="inlineStr">
        <is>
          <t>2위:쿠팡=703,720원</t>
        </is>
      </c>
      <c r="M44" s="15" t="n">
        <v>0</v>
      </c>
      <c r="N44" s="16" t="inlineStr">
        <is>
          <t>쿠쿠</t>
        </is>
      </c>
      <c r="O44" s="16" t="inlineStr">
        <is>
          <t>DH-16ZH45FG</t>
        </is>
      </c>
      <c r="P44" s="17" t="inlineStr">
        <is>
          <t>쿠쿠 인스퓨어 공기청정 DH-16ZH45FG</t>
        </is>
      </c>
      <c r="Q44" s="16" t="inlineStr">
        <is>
          <t>16</t>
        </is>
      </c>
      <c r="R44" s="17" t="inlineStr">
        <is>
          <t>공기청정, 습도자동조절, 상하자동회전</t>
        </is>
      </c>
      <c r="S44" s="18" t="n">
        <v>3</v>
      </c>
      <c r="T44" s="15" t="n"/>
      <c r="U44" s="15" t="n"/>
      <c r="V44" s="15" t="n"/>
      <c r="W44" s="15" t="n"/>
      <c r="X44" s="12" t="n"/>
      <c r="Y44" s="19" t="n"/>
      <c r="Z44" s="17" t="inlineStr"/>
      <c r="AA44" s="17" t="inlineStr">
        <is>
          <t>판매처 3곳, 구형 모델</t>
        </is>
      </c>
    </row>
    <row r="45" ht="30" customHeight="1">
      <c r="A45" s="9" t="n"/>
      <c r="B45" s="9">
        <f>IF(OR(H45="",I45=""),"위너가입력필요",IF(OR(T45="",U45="",V45=""),"쿠팡검증필요",IF(OR(U45="로켓그로스",T45&lt;2,V45&lt;30,D45&lt;5),"제외",IF(AND(T45&gt;=2,U45="일반",V45&gt;=100,D45&gt;=12),"S",IF(AND(T45&gt;=2,U45="일반",V45&gt;=50,D45&gt;=8),"A",IF(AND(V45&gt;=30,T45&gt;=2,D45&gt;=5),"B","C"))))))</f>
        <v/>
      </c>
      <c r="C45" s="10">
        <f>IF(H45="","",ROUND(H45-I45-H45*0.17-M45,0))</f>
        <v/>
      </c>
      <c r="D45" s="11">
        <f>IF(OR(H45="",H45=0),"",ROUND(C45/H45*100,1))</f>
        <v/>
      </c>
      <c r="E45" s="10" t="n">
        <v>224651</v>
      </c>
      <c r="F45" s="10" t="n">
        <v>248613</v>
      </c>
      <c r="G45" s="10" t="n">
        <v>262620</v>
      </c>
      <c r="H45" s="12" t="n"/>
      <c r="I45" s="13" t="n">
        <v>186460</v>
      </c>
      <c r="J45" s="14" t="inlineStr">
        <is>
          <t>11번가</t>
        </is>
      </c>
      <c r="K45" s="14" t="inlineStr">
        <is>
          <t>https://search.danawa.com/dsearch.php?query=%EC%BA%90%EB%A6%AC%EC%96%B4%20%EC%A0%9C%EC%8A%B5%EA%B8%B0%2016L</t>
        </is>
      </c>
      <c r="L45" s="14" t="inlineStr">
        <is>
          <t>2위:홈&amp;쇼핑=186,470원</t>
        </is>
      </c>
      <c r="M45" s="15" t="n">
        <v>0</v>
      </c>
      <c r="N45" s="16" t="inlineStr">
        <is>
          <t>캐리어</t>
        </is>
      </c>
      <c r="O45" s="16" t="inlineStr">
        <is>
          <t>YCDHM-C016LROW</t>
        </is>
      </c>
      <c r="P45" s="17" t="inlineStr">
        <is>
          <t>캐리어 YCDHM-C016LROW</t>
        </is>
      </c>
      <c r="Q45" s="16" t="inlineStr">
        <is>
          <t>16</t>
        </is>
      </c>
      <c r="R45" s="17" t="inlineStr">
        <is>
          <t>습도자동조절, 내부건조, 만수알림, 연속배수, 상하자동회전, 풍량조절</t>
        </is>
      </c>
      <c r="S45" s="18" t="n">
        <v>65</v>
      </c>
      <c r="T45" s="15" t="n"/>
      <c r="U45" s="15" t="n"/>
      <c r="V45" s="15" t="n"/>
      <c r="W45" s="15" t="n"/>
      <c r="X45" s="12" t="n"/>
      <c r="Y45" s="19" t="n"/>
      <c r="Z45" s="17" t="inlineStr"/>
      <c r="AA45" s="17" t="inlineStr"/>
    </row>
    <row r="46" ht="30" customHeight="1">
      <c r="A46" s="9" t="n"/>
      <c r="B46" s="9">
        <f>IF(OR(H46="",I46=""),"위너가입력필요",IF(OR(T46="",U46="",V46=""),"쿠팡검증필요",IF(OR(U46="로켓그로스",T46&lt;2,V46&lt;30,D46&lt;5),"제외",IF(AND(T46&gt;=2,U46="일반",V46&gt;=100,D46&gt;=12),"S",IF(AND(T46&gt;=2,U46="일반",V46&gt;=50,D46&gt;=8),"A",IF(AND(V46&gt;=30,T46&gt;=2,D46&gt;=5),"B","C"))))))</f>
        <v/>
      </c>
      <c r="C46" s="10">
        <f>IF(H46="","",ROUND(H46-I46-H46*0.17-M46,0))</f>
        <v/>
      </c>
      <c r="D46" s="11">
        <f>IF(OR(H46="",H46=0),"",ROUND(C46/H46*100,1))</f>
        <v/>
      </c>
      <c r="E46" s="10" t="n">
        <v>225880</v>
      </c>
      <c r="F46" s="10" t="n">
        <v>249973</v>
      </c>
      <c r="G46" s="10" t="n">
        <v>264056</v>
      </c>
      <c r="H46" s="12" t="n"/>
      <c r="I46" s="13" t="n">
        <v>187480</v>
      </c>
      <c r="J46" s="14" t="inlineStr">
        <is>
          <t>11번가</t>
        </is>
      </c>
      <c r="K46" s="14" t="inlineStr">
        <is>
          <t>https://search.danawa.com/dsearch.php?query=%EC%BA%90%EB%A6%AC%EC%96%B4%20%EC%A0%9C%EC%8A%B5%EA%B8%B0%2016L</t>
        </is>
      </c>
      <c r="L46" s="14" t="inlineStr">
        <is>
          <t>2위:롯데ON=191,390원</t>
        </is>
      </c>
      <c r="M46" s="15" t="n">
        <v>0</v>
      </c>
      <c r="N46" s="16" t="inlineStr">
        <is>
          <t>캐리어</t>
        </is>
      </c>
      <c r="O46" s="16" t="inlineStr">
        <is>
          <t>YCDHM-C016LRAW</t>
        </is>
      </c>
      <c r="P46" s="17" t="inlineStr">
        <is>
          <t>캐리어 YCDHM-C016LRAW</t>
        </is>
      </c>
      <c r="Q46" s="16" t="inlineStr">
        <is>
          <t>16</t>
        </is>
      </c>
      <c r="R46" s="17" t="inlineStr">
        <is>
          <t>2등급 에너지, 내부건조, 연속배수, 상하자동회전</t>
        </is>
      </c>
      <c r="S46" s="18" t="n">
        <v>104</v>
      </c>
      <c r="T46" s="15" t="n"/>
      <c r="U46" s="15" t="n"/>
      <c r="V46" s="15" t="n"/>
      <c r="W46" s="15" t="n"/>
      <c r="X46" s="12" t="n"/>
      <c r="Y46" s="19" t="n"/>
      <c r="Z46" s="17" t="inlineStr">
        <is>
          <t>쿠팡 직접 접근 불가. 2차 자료 기준 '신호/리드'만: 다나와 가격비교에 등재되어 있고, 쿠팡 판매가는 27만원대로 언급됨. 오늘의집에서 평균 4.7점/리뷰 39개, 롯데하이마트 3.4점/5건 등 타 채널 리뷰가 존재해 시장 유통·리뷰가 어느 정도 형성된 모델로 추정. 블로그(ggulreview, sunaeda 등)·가격비교 사이트에서 '가성비 베스트픽'으로 반복 추천되는 편. 다만 쿠팡 자체 리뷰 수·평점은 확인 불가 — 확정된 리뷰 수치는 미상.</t>
        </is>
      </c>
      <c r="AA46" s="17" t="inlineStr">
        <is>
          <t>중대한 반품/과장광고 신호는 미발견. 다만 주의점: (1) 물통 용량 4L로 작은 편 → 만수 시 잦은 비움 불편 언급, (2) 에너지효율 2등급(제습효율 2.43) — 동급 20L 1등급 대비 전기료 불리, 3~4만원 차이로 상위 스펙 대안 존재, (3) 롯데하이마트 평점 3.4점(5건)은 표본 적으나 상대적으로 낮은 편이라 성능 만족도 편차 가능성. '가성비' 마케팅 강조가 성능 기대치 과대해석으로 이어질 리스크는 있으나 명백한 과장광고 근거는 없음.</t>
        </is>
      </c>
    </row>
    <row r="47" ht="30" customHeight="1">
      <c r="A47" s="9" t="n"/>
      <c r="B47" s="9">
        <f>IF(OR(H47="",I47=""),"위너가입력필요",IF(OR(T47="",U47="",V47=""),"쿠팡검증필요",IF(OR(U47="로켓그로스",T47&lt;2,V47&lt;30,D47&lt;5),"제외",IF(AND(T47&gt;=2,U47="일반",V47&gt;=100,D47&gt;=12),"S",IF(AND(T47&gt;=2,U47="일반",V47&gt;=50,D47&gt;=8),"A",IF(AND(V47&gt;=30,T47&gt;=2,D47&gt;=5),"B","C"))))))</f>
        <v/>
      </c>
      <c r="C47" s="10">
        <f>IF(H47="","",ROUND(H47-I47-H47*0.17-M47,0))</f>
        <v/>
      </c>
      <c r="D47" s="11">
        <f>IF(OR(H47="",H47=0),"",ROUND(C47/H47*100,1))</f>
        <v/>
      </c>
      <c r="E47" s="10" t="n">
        <v>242530</v>
      </c>
      <c r="F47" s="10" t="n">
        <v>268400</v>
      </c>
      <c r="G47" s="10" t="n">
        <v>283521</v>
      </c>
      <c r="H47" s="12" t="n"/>
      <c r="I47" s="13" t="n">
        <v>201300</v>
      </c>
      <c r="J47" s="14" t="inlineStr">
        <is>
          <t>옥션</t>
        </is>
      </c>
      <c r="K47" s="14" t="inlineStr">
        <is>
          <t>https://search.danawa.com/dsearch.php?query=%EC%BA%90%EB%A6%AC%EC%96%B4%20%EC%A0%9C%EC%8A%B5%EA%B8%B0%2016L</t>
        </is>
      </c>
      <c r="L47" s="14" t="inlineStr">
        <is>
          <t>2위:G마켓=203,980원</t>
        </is>
      </c>
      <c r="M47" s="15" t="n">
        <v>0</v>
      </c>
      <c r="N47" s="16" t="inlineStr">
        <is>
          <t>캐리어</t>
        </is>
      </c>
      <c r="O47" s="16" t="inlineStr">
        <is>
          <t>CDHC-160AAMWOYH</t>
        </is>
      </c>
      <c r="P47" s="17" t="inlineStr">
        <is>
          <t>캐리어 클라윈드 CDHC-160AAMWOYH</t>
        </is>
      </c>
      <c r="Q47" s="16" t="inlineStr">
        <is>
          <t>16</t>
        </is>
      </c>
      <c r="R47" s="17" t="inlineStr">
        <is>
          <t>습도자동조절, 만수알림, 상하자동회전, 풍량조절</t>
        </is>
      </c>
      <c r="S47" s="18" t="n">
        <v>44</v>
      </c>
      <c r="T47" s="15" t="n"/>
      <c r="U47" s="15" t="n"/>
      <c r="V47" s="15" t="n"/>
      <c r="W47" s="15" t="n"/>
      <c r="X47" s="12" t="n"/>
      <c r="Y47" s="19" t="n"/>
      <c r="Z47" s="17" t="inlineStr"/>
      <c r="AA47" s="17" t="inlineStr"/>
    </row>
    <row r="48" ht="30" customHeight="1">
      <c r="A48" s="9" t="n"/>
      <c r="B48" s="9">
        <f>IF(OR(H48="",I48=""),"위너가입력필요",IF(OR(T48="",U48="",V48=""),"쿠팡검증필요",IF(OR(U48="로켓그로스",T48&lt;2,V48&lt;30,D48&lt;5),"제외",IF(AND(T48&gt;=2,U48="일반",V48&gt;=100,D48&gt;=12),"S",IF(AND(T48&gt;=2,U48="일반",V48&gt;=50,D48&gt;=8),"A",IF(AND(V48&gt;=30,T48&gt;=2,D48&gt;=5),"B","C"))))))</f>
        <v/>
      </c>
      <c r="C48" s="10">
        <f>IF(H48="","",ROUND(H48-I48-H48*0.17-M48,0))</f>
        <v/>
      </c>
      <c r="D48" s="11">
        <f>IF(OR(H48="",H48=0),"",ROUND(C48/H48*100,1))</f>
        <v/>
      </c>
      <c r="E48" s="10" t="n">
        <v>283112</v>
      </c>
      <c r="F48" s="10" t="n">
        <v>313311</v>
      </c>
      <c r="G48" s="10" t="n">
        <v>330962</v>
      </c>
      <c r="H48" s="12" t="n"/>
      <c r="I48" s="13" t="n">
        <v>234983</v>
      </c>
      <c r="J48" s="14" t="inlineStr">
        <is>
          <t>SSG.COM</t>
        </is>
      </c>
      <c r="K48" s="14" t="inlineStr">
        <is>
          <t>https://search.danawa.com/dsearch.php?query=%EC%BA%90%EB%A6%AC%EC%96%B4%20%EC%A0%9C%EC%8A%B5%EA%B8%B0%2016L</t>
        </is>
      </c>
      <c r="L48" s="14" t="inlineStr">
        <is>
          <t>2위:현대Hmall=237,310원 (단, 현대카드 7% 조건 표기 있음)</t>
        </is>
      </c>
      <c r="M48" s="15" t="n">
        <v>0</v>
      </c>
      <c r="N48" s="16" t="inlineStr">
        <is>
          <t>캐리어</t>
        </is>
      </c>
      <c r="O48" s="16" t="inlineStr">
        <is>
          <t>CDHC-160AYLWWYH</t>
        </is>
      </c>
      <c r="P48" s="17" t="inlineStr">
        <is>
          <t>캐리어 CDHC-160AYLWWYH</t>
        </is>
      </c>
      <c r="Q48" s="16" t="inlineStr">
        <is>
          <t>16</t>
        </is>
      </c>
      <c r="R48" s="17" t="inlineStr">
        <is>
          <t>1등급 에너지, 습도자동조절, 내부건조</t>
        </is>
      </c>
      <c r="S48" s="18" t="n">
        <v>86</v>
      </c>
      <c r="T48" s="15" t="n"/>
      <c r="U48" s="15" t="n"/>
      <c r="V48" s="15" t="n"/>
      <c r="W48" s="15" t="n"/>
      <c r="X48" s="12" t="n"/>
      <c r="Y48" s="19" t="n"/>
      <c r="Z48" s="17" t="inlineStr">
        <is>
          <t>[신호/리드 — 확정 아님] 2차 자료(다나와/한샘몰/전자랜드/롯데하이마트/SSG 등)에서 CDHC-160AYLWWYH는 주로 '스펙·판매 페이지' 위주로만 노출되고, 쿠팡 실제 후기 본문이나 리뷰 수를 확인할 수 있는 블로그/유튜브 콘텐츠는 이번 검색에서 잡히지 않음. 즉 이 모델 자체는 쿠팡에서 '리뷰 폭발형 인기 모델'이라는 강한 신호는 없음. 쿠팡 검색 결과 페이지가 '캐리어 제습기' 카테고리로만 인덱싱될 뿐 개별 리뷰 신호 부족. 참고로 이마트몰(SSG)에서는 별점 4.5점/리뷰 2건 수준으로 표본이 매우 적음 → 신제품이거나 유통 초기일 가능성. 다만 형제격인 캐리어 클라윈드 16L(YCDHM-C016 계열)은 신세계몰 기준 평점 4.8/리뷰 40건으로 상대적으로 리뷰가 쌓여 있어, '캐리어 16L 제습기' 라인 전반은 온라인에서 수요가 있는 편으로 보임(모델 혼동 주의).</t>
        </is>
      </c>
      <c r="AA48" s="17" t="inlineStr">
        <is>
          <t>[신호/추정] 1) 명시적 반품·과장광고·성능불만 후기는 이번 2차 자료에서 발견되지 않음(부정 신호 없음 = 안전 확정 아님, 데이터 부족). 2) 리뷰 표본이 2건 수준으로 매우 적어 '검증되지 않은 제품' 리스크 존재 — 실사용 평가 근거 빈약. 3) 모델명 혼동 리스크 큼: CDHC-160AYLWWYH vs 클라윈드 YCDHM-C016 계열 vs CDH-1605DG 등이 온라인에 혼재 → 소싱 시 정확한 모델코드 대조 필요. 4) 250W/16L 사양 대비 20평 대응 표기는 제조사 스펙 기준이라 실사용 체감 제습력 과장 여지 통상적 주의 필요(일반적 제습기 카테고리 리스크).</t>
        </is>
      </c>
    </row>
    <row r="49" ht="30" customHeight="1">
      <c r="A49" s="9" t="n"/>
      <c r="B49" s="9">
        <f>IF(OR(H49="",I49=""),"위너가입력필요",IF(OR(T49="",U49="",V49=""),"쿠팡검증필요",IF(OR(U49="로켓그로스",T49&lt;2,V49&lt;30,D49&lt;5),"제외",IF(AND(T49&gt;=2,U49="일반",V49&gt;=100,D49&gt;=12),"S",IF(AND(T49&gt;=2,U49="일반",V49&gt;=50,D49&gt;=8),"A",IF(AND(V49&gt;=30,T49&gt;=2,D49&gt;=5),"B","C"))))))</f>
        <v/>
      </c>
      <c r="C49" s="10">
        <f>IF(H49="","",ROUND(H49-I49-H49*0.17-M49,0))</f>
        <v/>
      </c>
      <c r="D49" s="11">
        <f>IF(OR(H49="",H49=0),"",ROUND(C49/H49*100,1))</f>
        <v/>
      </c>
      <c r="E49" s="10" t="n">
        <v>289446</v>
      </c>
      <c r="F49" s="10" t="n">
        <v>320320</v>
      </c>
      <c r="G49" s="10" t="n">
        <v>338366</v>
      </c>
      <c r="H49" s="12" t="n"/>
      <c r="I49" s="13" t="n">
        <v>240240</v>
      </c>
      <c r="J49" s="14" t="inlineStr">
        <is>
          <t>하이마트</t>
        </is>
      </c>
      <c r="K49" s="14" t="inlineStr">
        <is>
          <t>https://search.danawa.com/dsearch.php?query=%EC%BA%90%EB%A6%AC%EC%96%B4%20%EC%A0%9C%EC%8A%B5%EA%B8%B0%2016L</t>
        </is>
      </c>
      <c r="L49" s="14" t="inlineStr">
        <is>
          <t>최저가=카드전용(기본가기준) / 2위:G마켓=248,160원</t>
        </is>
      </c>
      <c r="M49" s="15" t="n">
        <v>0</v>
      </c>
      <c r="N49" s="16" t="inlineStr">
        <is>
          <t>캐리어</t>
        </is>
      </c>
      <c r="O49" s="16" t="inlineStr">
        <is>
          <t>CDHC-160AYLLYYH</t>
        </is>
      </c>
      <c r="P49" s="17" t="inlineStr">
        <is>
          <t>캐리어 CDHC-160AYLLYYH</t>
        </is>
      </c>
      <c r="Q49" s="16" t="inlineStr">
        <is>
          <t>16</t>
        </is>
      </c>
      <c r="R49" s="17" t="inlineStr">
        <is>
          <t>1등급 에너지, 습도자동조절, 내부건조, 연속배수</t>
        </is>
      </c>
      <c r="S49" s="18" t="n">
        <v>8</v>
      </c>
      <c r="T49" s="15" t="n"/>
      <c r="U49" s="15" t="n"/>
      <c r="V49" s="15" t="n"/>
      <c r="W49" s="15" t="n"/>
      <c r="X49" s="12" t="n"/>
      <c r="Y49" s="19" t="n"/>
      <c r="Z49" s="17" t="inlineStr"/>
      <c r="AA49" s="17" t="inlineStr">
        <is>
          <t>판매처 수 적음</t>
        </is>
      </c>
    </row>
    <row r="50" ht="30" customHeight="1">
      <c r="A50" s="9" t="n"/>
      <c r="B50" s="9">
        <f>IF(OR(H50="",I50=""),"위너가입력필요",IF(OR(T50="",U50="",V50=""),"쿠팡검증필요",IF(OR(U50="로켓그로스",T50&lt;2,V50&lt;30,D50&lt;5),"제외",IF(AND(T50&gt;=2,U50="일반",V50&gt;=100,D50&gt;=12),"S",IF(AND(T50&gt;=2,U50="일반",V50&gt;=50,D50&gt;=8),"A",IF(AND(V50&gt;=30,T50&gt;=2,D50&gt;=5),"B","C"))))))</f>
        <v/>
      </c>
      <c r="C50" s="10">
        <f>IF(H50="","",ROUND(H50-I50-H50*0.17-M50,0))</f>
        <v/>
      </c>
      <c r="D50" s="11">
        <f>IF(OR(H50="",H50=0),"",ROUND(C50/H50*100,1))</f>
        <v/>
      </c>
      <c r="E50" s="10" t="n">
        <v>296386</v>
      </c>
      <c r="F50" s="10" t="n">
        <v>328000</v>
      </c>
      <c r="G50" s="10" t="n">
        <v>346479</v>
      </c>
      <c r="H50" s="12" t="n"/>
      <c r="I50" s="13" t="n">
        <v>246000</v>
      </c>
      <c r="J50" s="14" t="inlineStr">
        <is>
          <t>11번가</t>
        </is>
      </c>
      <c r="K50" s="14" t="inlineStr">
        <is>
          <t>https://search.danawa.com/dsearch.php?query=%EC%BA%90%EB%A6%AC%EC%96%B4%20%EC%A0%9C%EC%8A%B5%EA%B8%B0%2016L</t>
        </is>
      </c>
      <c r="L50" s="14" t="inlineStr">
        <is>
          <t>2위:쿠팡=253,000원</t>
        </is>
      </c>
      <c r="M50" s="15" t="n">
        <v>0</v>
      </c>
      <c r="N50" s="16" t="inlineStr">
        <is>
          <t>캐리어</t>
        </is>
      </c>
      <c r="O50" s="16" t="inlineStr">
        <is>
          <t>CDHC-160AYLLOYH</t>
        </is>
      </c>
      <c r="P50" s="17" t="inlineStr">
        <is>
          <t>캐리어 CDHC-160AYLLOYH</t>
        </is>
      </c>
      <c r="Q50" s="16" t="inlineStr">
        <is>
          <t>16</t>
        </is>
      </c>
      <c r="R50" s="17" t="inlineStr">
        <is>
          <t>1등급 에너지, 습도자동조절, 내부건조, 성에제거</t>
        </is>
      </c>
      <c r="S50" s="18" t="n">
        <v>71</v>
      </c>
      <c r="T50" s="15" t="n"/>
      <c r="U50" s="15" t="n"/>
      <c r="V50" s="15" t="n"/>
      <c r="W50" s="15" t="n"/>
      <c r="X50" s="12" t="n"/>
      <c r="Y50" s="19" t="n"/>
      <c r="Z50" s="17" t="inlineStr"/>
      <c r="AA50" s="17" t="inlineStr"/>
    </row>
    <row r="51" ht="30" customHeight="1">
      <c r="A51" s="9" t="n"/>
      <c r="B51" s="9">
        <f>IF(OR(H51="",I51=""),"위너가입력필요",IF(OR(T51="",U51="",V51=""),"쿠팡검증필요",IF(OR(U51="로켓그로스",T51&lt;2,V51&lt;30,D51&lt;5),"제외",IF(AND(T51&gt;=2,U51="일반",V51&gt;=100,D51&gt;=12),"S",IF(AND(T51&gt;=2,U51="일반",V51&gt;=50,D51&gt;=8),"A",IF(AND(V51&gt;=30,T51&gt;=2,D51&gt;=5),"B","C"))))))</f>
        <v/>
      </c>
      <c r="C51" s="10">
        <f>IF(H51="","",ROUND(H51-I51-H51*0.17-M51,0))</f>
        <v/>
      </c>
      <c r="D51" s="11">
        <f>IF(OR(H51="",H51=0),"",ROUND(C51/H51*100,1))</f>
        <v/>
      </c>
      <c r="E51" s="10" t="n">
        <v>308723</v>
      </c>
      <c r="F51" s="10" t="n">
        <v>341653</v>
      </c>
      <c r="G51" s="10" t="n">
        <v>360901</v>
      </c>
      <c r="H51" s="12" t="n"/>
      <c r="I51" s="13" t="n">
        <v>256240</v>
      </c>
      <c r="J51" s="14" t="inlineStr">
        <is>
          <t>11번가</t>
        </is>
      </c>
      <c r="K51" s="14" t="inlineStr">
        <is>
          <t>https://search.danawa.com/dsearch.php?query=%EC%BA%90%EB%A6%AC%EC%96%B4%20%EC%A0%9C%EC%8A%B5%EA%B8%B0%2016L</t>
        </is>
      </c>
      <c r="L51" s="14" t="inlineStr">
        <is>
          <t>2위:롯데ON=256,250원</t>
        </is>
      </c>
      <c r="M51" s="15" t="n">
        <v>0</v>
      </c>
      <c r="N51" s="16" t="inlineStr">
        <is>
          <t>캐리어</t>
        </is>
      </c>
      <c r="O51" s="16" t="inlineStr">
        <is>
          <t>CDHC-160AYLLEYH</t>
        </is>
      </c>
      <c r="P51" s="17" t="inlineStr">
        <is>
          <t>캐리어 CDHC-160AYLLEYH</t>
        </is>
      </c>
      <c r="Q51" s="16" t="inlineStr">
        <is>
          <t>16</t>
        </is>
      </c>
      <c r="R51" s="17" t="inlineStr">
        <is>
          <t>1등급 에너지, 성에제거, 습도자동조절</t>
        </is>
      </c>
      <c r="S51" s="18" t="n">
        <v>7</v>
      </c>
      <c r="T51" s="15" t="n"/>
      <c r="U51" s="15" t="n"/>
      <c r="V51" s="15" t="n"/>
      <c r="W51" s="15" t="n"/>
      <c r="X51" s="12" t="n"/>
      <c r="Y51" s="19" t="n"/>
      <c r="Z51" s="17" t="inlineStr"/>
      <c r="AA51" s="17" t="inlineStr">
        <is>
          <t>판매처 수 적음, 최신 출시</t>
        </is>
      </c>
    </row>
    <row r="52" ht="30" customHeight="1">
      <c r="A52" s="9" t="n"/>
      <c r="B52" s="9">
        <f>IF(OR(H52="",I52=""),"위너가입력필요",IF(OR(T52="",U52="",V52=""),"쿠팡검증필요",IF(OR(U52="로켓그로스",T52&lt;2,V52&lt;30,D52&lt;5),"제외",IF(AND(T52&gt;=2,U52="일반",V52&gt;=100,D52&gt;=12),"S",IF(AND(T52&gt;=2,U52="일반",V52&gt;=50,D52&gt;=8),"A",IF(AND(V52&gt;=30,T52&gt;=2,D52&gt;=5),"B","C"))))))</f>
        <v/>
      </c>
      <c r="C52" s="10">
        <f>IF(H52="","",ROUND(H52-I52-H52*0.17-M52,0))</f>
        <v/>
      </c>
      <c r="D52" s="11">
        <f>IF(OR(H52="",H52=0),"",ROUND(C52/H52*100,1))</f>
        <v/>
      </c>
      <c r="E52" s="10" t="n">
        <v>285988</v>
      </c>
      <c r="F52" s="10" t="n">
        <v>316493</v>
      </c>
      <c r="G52" s="10" t="n">
        <v>334324</v>
      </c>
      <c r="H52" s="12" t="n"/>
      <c r="I52" s="13" t="n">
        <v>237370</v>
      </c>
      <c r="J52" s="14" t="inlineStr">
        <is>
          <t>롯데ON</t>
        </is>
      </c>
      <c r="K52" s="14" t="inlineStr">
        <is>
          <t>https://search.danawa.com/dsearch.php?query=%EC%BA%90%EB%A6%AC%EC%96%B4%20%EC%A0%9C%EC%8A%B5%EA%B8%B0%2020L</t>
        </is>
      </c>
      <c r="L52" s="14" t="inlineStr">
        <is>
          <t>2위:옥션=246,400원</t>
        </is>
      </c>
      <c r="M52" s="15" t="n">
        <v>0</v>
      </c>
      <c r="N52" s="16" t="inlineStr">
        <is>
          <t>캐리어</t>
        </is>
      </c>
      <c r="O52" s="16" t="inlineStr">
        <is>
          <t>CDHC-200AXMWOYH</t>
        </is>
      </c>
      <c r="P52" s="17" t="inlineStr">
        <is>
          <t>캐리어 20L 제습기 CDHC-200AXMWOYH</t>
        </is>
      </c>
      <c r="Q52" s="16" t="inlineStr">
        <is>
          <t>20</t>
        </is>
      </c>
      <c r="R52" s="17" t="inlineStr">
        <is>
          <t>습도자동조절, 내부건조, 만수알림, 성에제거, 연속배수, 상하자동회전, 풍량조절</t>
        </is>
      </c>
      <c r="S52" s="18" t="n">
        <v>63</v>
      </c>
      <c r="T52" s="15" t="n"/>
      <c r="U52" s="15" t="n"/>
      <c r="V52" s="15" t="n"/>
      <c r="W52" s="15" t="n"/>
      <c r="X52" s="12" t="n"/>
      <c r="Y52" s="19" t="n"/>
      <c r="Z52" s="17" t="inlineStr"/>
      <c r="AA52" s="17" t="inlineStr"/>
    </row>
    <row r="53" ht="30" customHeight="1">
      <c r="A53" s="9" t="n"/>
      <c r="B53" s="9">
        <f>IF(OR(H53="",I53=""),"위너가입력필요",IF(OR(T53="",U53="",V53=""),"쿠팡검증필요",IF(OR(U53="로켓그로스",T53&lt;2,V53&lt;30,D53&lt;5),"제외",IF(AND(T53&gt;=2,U53="일반",V53&gt;=100,D53&gt;=12),"S",IF(AND(T53&gt;=2,U53="일반",V53&gt;=50,D53&gt;=8),"A",IF(AND(V53&gt;=30,T53&gt;=2,D53&gt;=5),"B","C"))))))</f>
        <v/>
      </c>
      <c r="C53" s="10">
        <f>IF(H53="","",ROUND(H53-I53-H53*0.17-M53,0))</f>
        <v/>
      </c>
      <c r="D53" s="11">
        <f>IF(OR(H53="",H53=0),"",ROUND(C53/H53*100,1))</f>
        <v/>
      </c>
      <c r="E53" s="10" t="n">
        <v>293012</v>
      </c>
      <c r="F53" s="10" t="n">
        <v>324267</v>
      </c>
      <c r="G53" s="10" t="n">
        <v>342535</v>
      </c>
      <c r="H53" s="12" t="n"/>
      <c r="I53" s="13" t="n">
        <v>243200</v>
      </c>
      <c r="J53" s="14" t="inlineStr">
        <is>
          <t>쿠팡</t>
        </is>
      </c>
      <c r="K53" s="14" t="inlineStr">
        <is>
          <t>https://search.danawa.com/dsearch.php?query=%EC%BA%90%EB%A6%AC%EC%96%B4%20%EC%A0%9C%EC%8A%B5%EA%B8%B0%2020L</t>
        </is>
      </c>
      <c r="L53" s="14" t="inlineStr">
        <is>
          <t>⚠쿠팡이최저=마진X / 2위:롯데홈쇼핑=247,520원</t>
        </is>
      </c>
      <c r="M53" s="15" t="n">
        <v>0</v>
      </c>
      <c r="N53" s="16" t="inlineStr">
        <is>
          <t>캐리어</t>
        </is>
      </c>
      <c r="O53" s="16" t="inlineStr">
        <is>
          <t>CDHC-200AYMLOYH</t>
        </is>
      </c>
      <c r="P53" s="17" t="inlineStr">
        <is>
          <t>캐리어 20L 제습기 CDHC-200AYMLOYH</t>
        </is>
      </c>
      <c r="Q53" s="16" t="inlineStr">
        <is>
          <t>20</t>
        </is>
      </c>
      <c r="R53" s="17" t="inlineStr">
        <is>
          <t>습도자동조절, 만수알림, 성에제거, 내부건조, 연속배수, 상하자동회전, 풍량조절</t>
        </is>
      </c>
      <c r="S53" s="18" t="n">
        <v>86</v>
      </c>
      <c r="T53" s="15" t="n"/>
      <c r="U53" s="15" t="n"/>
      <c r="V53" s="15" t="n"/>
      <c r="W53" s="15" t="n"/>
      <c r="X53" s="12" t="n"/>
      <c r="Y53" s="19" t="n"/>
      <c r="Z53" s="17" t="inlineStr">
        <is>
          <t>[신호/리드 — 2차 자료 기반, 실측 검증 아님] 캐리어 20L 제습기로 다나와/노써치/SSG/11번가/캐리어몰 등 다수 종합몰·가격비교 사이트에 정식 등재된 유통량 많은 주력 모델. 한 검색 요약이 "쿠팡 별점 4.5점, 리뷰 약 163개" 수준을 언급 → 인기·리뷰 축적 신호는 있으나 쿠팡 직접 접근 불가로 리뷰 수치는 미검증 리드로만 간주. 블로그/유튜브 내돈내산 후기는 주로 형제 모델(CDHC-200AYMAEYH)과 혼재되어 노출되며, 본 모델(LOYH) 단독 개별 리뷰 콘텐츠는 상대적으로 적은 편. 장마철·의류건조·원룸 수요층에서 꾸준히 검색되는 대용량 가성비 포지션.</t>
        </is>
      </c>
      <c r="AA53" s="17" t="inlineStr">
        <is>
          <t>현재 수집된 2차 자료에서는 반품·과장광고·성능불만 관련 뚜렷한 부정 신호는 확인되지 않음(단점 특정 리뷰 미노출). 다만 주의할 리드: (1) 형제 모델(AEYH/ACLWOYH)과 모델명이 매우 유사해 소비자 오인·다른 모델 후기 혼동 가능 → 후기 신뢰도 판단 시 모델명 정확 매칭 필요. (2) 에너지 2등급(효율 2.53, 340W)로 1등급 모델(ACLWOYH) 대비 전기료·효율 불만 가능성 잠재. 실제 반품률·성능불만은 쿠팡 원문 리뷰 직접 확인 전까지 미확정.</t>
        </is>
      </c>
    </row>
    <row r="54" ht="30" customHeight="1">
      <c r="A54" s="9" t="n"/>
      <c r="B54" s="9">
        <f>IF(OR(H54="",I54=""),"위너가입력필요",IF(OR(T54="",U54="",V54=""),"쿠팡검증필요",IF(OR(U54="로켓그로스",T54&lt;2,V54&lt;30,D54&lt;5),"제외",IF(AND(T54&gt;=2,U54="일반",V54&gt;=100,D54&gt;=12),"S",IF(AND(T54&gt;=2,U54="일반",V54&gt;=50,D54&gt;=8),"A",IF(AND(V54&gt;=30,T54&gt;=2,D54&gt;=5),"B","C"))))))</f>
        <v/>
      </c>
      <c r="C54" s="10">
        <f>IF(H54="","",ROUND(H54-I54-H54*0.17-M54,0))</f>
        <v/>
      </c>
      <c r="D54" s="11">
        <f>IF(OR(H54="",H54=0),"",ROUND(C54/H54*100,1))</f>
        <v/>
      </c>
      <c r="E54" s="10" t="n">
        <v>299988</v>
      </c>
      <c r="F54" s="10" t="n">
        <v>331987</v>
      </c>
      <c r="G54" s="10" t="n">
        <v>350690</v>
      </c>
      <c r="H54" s="12" t="n"/>
      <c r="I54" s="13" t="n">
        <v>248990</v>
      </c>
      <c r="J54" s="14" t="inlineStr">
        <is>
          <t>롯데ON</t>
        </is>
      </c>
      <c r="K54" s="14" t="inlineStr">
        <is>
          <t>https://search.danawa.com/dsearch.php?query=%EC%BA%90%EB%A6%AC%EC%96%B4%20%EC%A0%9C%EC%8A%B5%EA%B8%B0%2020L</t>
        </is>
      </c>
      <c r="L54" s="14" t="inlineStr">
        <is>
          <t>2위:쿠팡=257,000원</t>
        </is>
      </c>
      <c r="M54" s="15" t="n">
        <v>0</v>
      </c>
      <c r="N54" s="16" t="inlineStr">
        <is>
          <t>캐리어</t>
        </is>
      </c>
      <c r="O54" s="16" t="inlineStr">
        <is>
          <t>CDHC-200AYMAEYH</t>
        </is>
      </c>
      <c r="P54" s="17" t="inlineStr">
        <is>
          <t>캐리어 20L 제습기 CDHC-200AYMAEYH</t>
        </is>
      </c>
      <c r="Q54" s="16" t="inlineStr">
        <is>
          <t>20</t>
        </is>
      </c>
      <c r="R54" s="17" t="inlineStr">
        <is>
          <t>내부건조, 만수알림, 연속배수, 상하자동회전</t>
        </is>
      </c>
      <c r="S54" s="18" t="n">
        <v>27</v>
      </c>
      <c r="T54" s="15" t="n"/>
      <c r="U54" s="15" t="n"/>
      <c r="V54" s="15" t="n"/>
      <c r="W54" s="15" t="n"/>
      <c r="X54" s="12" t="n"/>
      <c r="Y54" s="19" t="n"/>
      <c r="Z54" s="17" t="inlineStr"/>
      <c r="AA54" s="17" t="inlineStr"/>
    </row>
    <row r="55" ht="30" customHeight="1">
      <c r="A55" s="9" t="n"/>
      <c r="B55" s="9">
        <f>IF(OR(H55="",I55=""),"위너가입력필요",IF(OR(T55="",U55="",V55=""),"쿠팡검증필요",IF(OR(U55="로켓그로스",T55&lt;2,V55&lt;30,D55&lt;5),"제외",IF(AND(T55&gt;=2,U55="일반",V55&gt;=100,D55&gt;=12),"S",IF(AND(T55&gt;=2,U55="일반",V55&gt;=50,D55&gt;=8),"A",IF(AND(V55&gt;=30,T55&gt;=2,D55&gt;=5),"B","C"))))))</f>
        <v/>
      </c>
      <c r="C55" s="10">
        <f>IF(H55="","",ROUND(H55-I55-H55*0.17-M55,0))</f>
        <v/>
      </c>
      <c r="D55" s="11">
        <f>IF(OR(H55="",H55=0),"",ROUND(C55/H55*100,1))</f>
        <v/>
      </c>
      <c r="E55" s="10" t="n">
        <v>303711</v>
      </c>
      <c r="F55" s="10" t="n">
        <v>336107</v>
      </c>
      <c r="G55" s="10" t="n">
        <v>355042</v>
      </c>
      <c r="H55" s="12" t="n"/>
      <c r="I55" s="13" t="n">
        <v>252080</v>
      </c>
      <c r="J55" s="14" t="inlineStr">
        <is>
          <t>11번가</t>
        </is>
      </c>
      <c r="K55" s="14" t="inlineStr">
        <is>
          <t>https://search.danawa.com/dsearch.php?query=%EC%BA%90%EB%A6%AC%EC%96%B4%20%EC%A0%9C%EC%8A%B5%EA%B8%B0%2020L</t>
        </is>
      </c>
      <c r="L55" s="14" t="inlineStr">
        <is>
          <t>2위:SSG.COM=252,605원(카드전용가)</t>
        </is>
      </c>
      <c r="M55" s="15" t="n">
        <v>0</v>
      </c>
      <c r="N55" s="16" t="inlineStr">
        <is>
          <t>캐리어</t>
        </is>
      </c>
      <c r="O55" s="16" t="inlineStr">
        <is>
          <t>CDHM-C020LMOB</t>
        </is>
      </c>
      <c r="P55" s="17" t="inlineStr">
        <is>
          <t>캐리어 20L 제습기 CDHM-C020LMOB</t>
        </is>
      </c>
      <c r="Q55" s="16" t="inlineStr">
        <is>
          <t>20</t>
        </is>
      </c>
      <c r="R55" s="17" t="inlineStr">
        <is>
          <t>습도자동조절, 내부건조, 만수알림, 연속배수, 상하자동회전, 풍량조절</t>
        </is>
      </c>
      <c r="S55" s="18" t="n">
        <v>29</v>
      </c>
      <c r="T55" s="15" t="n"/>
      <c r="U55" s="15" t="n"/>
      <c r="V55" s="15" t="n"/>
      <c r="W55" s="15" t="n"/>
      <c r="X55" s="12" t="n"/>
      <c r="Y55" s="19" t="n"/>
      <c r="Z55" s="17" t="inlineStr"/>
      <c r="AA55" s="17" t="inlineStr"/>
    </row>
    <row r="56" ht="30" customHeight="1">
      <c r="A56" s="9" t="n"/>
      <c r="B56" s="9">
        <f>IF(OR(H56="",I56=""),"위너가입력필요",IF(OR(T56="",U56="",V56=""),"쿠팡검증필요",IF(OR(U56="로켓그로스",T56&lt;2,V56&lt;30,D56&lt;5),"제외",IF(AND(T56&gt;=2,U56="일반",V56&gt;=100,D56&gt;=12),"S",IF(AND(T56&gt;=2,U56="일반",V56&gt;=50,D56&gt;=8),"A",IF(AND(V56&gt;=30,T56&gt;=2,D56&gt;=5),"B","C"))))))</f>
        <v/>
      </c>
      <c r="C56" s="10">
        <f>IF(H56="","",ROUND(H56-I56-H56*0.17-M56,0))</f>
        <v/>
      </c>
      <c r="D56" s="11">
        <f>IF(OR(H56="",H56=0),"",ROUND(C56/H56*100,1))</f>
        <v/>
      </c>
      <c r="E56" s="10" t="n">
        <v>346988</v>
      </c>
      <c r="F56" s="10" t="n">
        <v>384000</v>
      </c>
      <c r="G56" s="10" t="n">
        <v>405634</v>
      </c>
      <c r="H56" s="12" t="n"/>
      <c r="I56" s="13" t="n">
        <v>288000</v>
      </c>
      <c r="J56" s="14" t="inlineStr">
        <is>
          <t>11번가</t>
        </is>
      </c>
      <c r="K56" s="14" t="inlineStr">
        <is>
          <t>https://search.danawa.com/dsearch.php?query=%EC%BA%90%EB%A6%AC%EC%96%B4%20%EC%A0%9C%EC%8A%B5%EA%B8%B0%2020L</t>
        </is>
      </c>
      <c r="L56" s="14" t="inlineStr">
        <is>
          <t>2위:쿠팡=290,000원</t>
        </is>
      </c>
      <c r="M56" s="15" t="n">
        <v>0</v>
      </c>
      <c r="N56" s="16" t="inlineStr">
        <is>
          <t>캐리어</t>
        </is>
      </c>
      <c r="O56" s="16" t="inlineStr">
        <is>
          <t>CDHC-200AXLWAYH</t>
        </is>
      </c>
      <c r="P56" s="17" t="inlineStr">
        <is>
          <t>캐리어 20L 제습기 CDHC-200AXLWAYH</t>
        </is>
      </c>
      <c r="Q56" s="16" t="inlineStr">
        <is>
          <t>20</t>
        </is>
      </c>
      <c r="R56" s="17" t="inlineStr">
        <is>
          <t>습도자동조절, 내부건조, 만수알림, 연속배수, 상하자동회전</t>
        </is>
      </c>
      <c r="S56" s="18" t="n">
        <v>28</v>
      </c>
      <c r="T56" s="15" t="n"/>
      <c r="U56" s="15" t="n"/>
      <c r="V56" s="15" t="n"/>
      <c r="W56" s="15" t="n"/>
      <c r="X56" s="12" t="n"/>
      <c r="Y56" s="19" t="n"/>
      <c r="Z56" s="17" t="inlineStr"/>
      <c r="AA56" s="17" t="inlineStr"/>
    </row>
    <row r="57" ht="30" customHeight="1">
      <c r="A57" s="9" t="n"/>
      <c r="B57" s="9">
        <f>IF(OR(H57="",I57=""),"위너가입력필요",IF(OR(T57="",U57="",V57=""),"쿠팡검증필요",IF(OR(U57="로켓그로스",T57&lt;2,V57&lt;30,D57&lt;5),"제외",IF(AND(T57&gt;=2,U57="일반",V57&gt;=100,D57&gt;=12),"S",IF(AND(T57&gt;=2,U57="일반",V57&gt;=50,D57&gt;=8),"A",IF(AND(V57&gt;=30,T57&gt;=2,D57&gt;=5),"B","C"))))))</f>
        <v/>
      </c>
      <c r="C57" s="10">
        <f>IF(H57="","",ROUND(H57-I57-H57*0.17-M57,0))</f>
        <v/>
      </c>
      <c r="D57" s="11">
        <f>IF(OR(H57="",H57=0),"",ROUND(C57/H57*100,1))</f>
        <v/>
      </c>
      <c r="E57" s="10" t="n">
        <v>360241</v>
      </c>
      <c r="F57" s="10" t="n">
        <v>398667</v>
      </c>
      <c r="G57" s="10" t="n">
        <v>421127</v>
      </c>
      <c r="H57" s="12" t="n"/>
      <c r="I57" s="13" t="n">
        <v>299000</v>
      </c>
      <c r="J57" s="14" t="inlineStr">
        <is>
          <t>쿠팡</t>
        </is>
      </c>
      <c r="K57" s="14" t="inlineStr">
        <is>
          <t>https://search.danawa.com/dsearch.php?query=%EC%BA%90%EB%A6%AC%EC%96%B4%20%EC%A0%9C%EC%8A%B5%EA%B8%B0%2020L</t>
        </is>
      </c>
      <c r="L57" s="14" t="inlineStr">
        <is>
          <t xml:space="preserve">⚠쿠팡이최저=마진X / 2위:캐리어정품인증점=299,000원 (쿠팡과 동일가 공동 최저), 그 다음 </t>
        </is>
      </c>
      <c r="M57" s="15" t="n">
        <v>0</v>
      </c>
      <c r="N57" s="16" t="inlineStr">
        <is>
          <t>캐리어</t>
        </is>
      </c>
      <c r="O57" s="16" t="inlineStr">
        <is>
          <t>CDHC-200ACLWOYH</t>
        </is>
      </c>
      <c r="P57" s="17" t="inlineStr">
        <is>
          <t>캐리어 20L 제습기 CDHC-200ACLWOYH</t>
        </is>
      </c>
      <c r="Q57" s="16" t="inlineStr">
        <is>
          <t>20</t>
        </is>
      </c>
      <c r="R57" s="17" t="inlineStr">
        <is>
          <t>습도자동조절, UV살균, 만수알림, 내부건조, 연속배수, 상하자동회전, 풍량조절</t>
        </is>
      </c>
      <c r="S57" s="18" t="n">
        <v>86</v>
      </c>
      <c r="T57" s="15" t="n"/>
      <c r="U57" s="15" t="n"/>
      <c r="V57" s="15" t="n"/>
      <c r="W57" s="15" t="n"/>
      <c r="X57" s="12" t="n"/>
      <c r="Y57" s="19" t="n"/>
      <c r="Z57" s="17" t="inlineStr">
        <is>
          <t>[신호/리드 — 확정 아님] 캐리어 2024년형 20L 1등급 제습기(CDHC-200ACLWOYH)는 쿠팡, 11번가, SSG, 롯데하이마트, 이마트몰, 캐리어몰 등 주요 유통 채널에 폭넓게 입점되어 있어 유통 노출도는 높음. 2차 자료(SSG 등)에서 유사/동일급 캐리어 20L 제습기가 쿠팡에서 별점 약 4.5점, 리뷰 약 163개 수준으로 언급됨 — 단 이 수치는 정확히 CDHC-200ACLWOYH 모델로 확정되지 않았고 유사 모델일 가능성이 있어 '리드'로만 취급해야 함. 노써치(nosearch)에서 이 모델을 실제 촬영·테스트 상품으로 선정한 정황이 있어 리뷰 미디어의 관심 대상임. 블로그 내돈내산 후기는 형번이 다른 자매모델(CDHC-200AYMAEYH)에 대한 것이라 직접 리뷰 신호로 보기 어려움. 종합: 인기·노출은 있으나 '이 정확한 형번'의 쿠팡 리뷰 규모는 2차 자료로 확증 불가.</t>
        </is>
      </c>
      <c r="AA57" s="17" t="inlineStr">
        <is>
          <t>2차 자료에서 이 형번에 대한 구체적 반품·과장광고·성능불만 신호는 발견되지 않음(중립). 다만 (1) 리뷰 수치가 유사 모델과 혼재되어 소비자 오인 소지, (2) 소비전력 표기가 자료별로 310W/323W로 불일치해 스펙 과장·혼선 주의, (3) 2024 신제품이라 SSG 등에서 리뷰 0건 채널 존재 → 검증된 실사용 데이터 부족이 잠재 리스크. 성능불만/반품 관련 명시적 부정 신호는 현재 없음.</t>
        </is>
      </c>
    </row>
    <row r="58" ht="30" customHeight="1">
      <c r="A58" s="9" t="n"/>
      <c r="B58" s="9">
        <f>IF(OR(H58="",I58=""),"위너가입력필요",IF(OR(T58="",U58="",V58=""),"쿠팡검증필요",IF(OR(U58="로켓그로스",T58&lt;2,V58&lt;30,D58&lt;5),"제외",IF(AND(T58&gt;=2,U58="일반",V58&gt;=100,D58&gt;=12),"S",IF(AND(T58&gt;=2,U58="일반",V58&gt;=50,D58&gt;=8),"A",IF(AND(V58&gt;=30,T58&gt;=2,D58&gt;=5),"B","C"))))))</f>
        <v/>
      </c>
      <c r="C58" s="10">
        <f>IF(H58="","",ROUND(H58-I58-H58*0.17-M58,0))</f>
        <v/>
      </c>
      <c r="D58" s="11">
        <f>IF(OR(H58="",H58=0),"",ROUND(C58/H58*100,1))</f>
        <v/>
      </c>
      <c r="E58" s="10" t="n">
        <v>379735</v>
      </c>
      <c r="F58" s="10" t="n">
        <v>420240</v>
      </c>
      <c r="G58" s="10" t="n">
        <v>443915</v>
      </c>
      <c r="H58" s="12" t="n"/>
      <c r="I58" s="13" t="n">
        <v>315180</v>
      </c>
      <c r="J58" s="14" t="inlineStr">
        <is>
          <t>롯데ON</t>
        </is>
      </c>
      <c r="K58" s="14" t="inlineStr">
        <is>
          <t>https://search.danawa.com/dsearch.php?query=%EC%BA%90%EB%A6%AC%EC%96%B4%20%EC%A0%9C%EC%8A%B5%EA%B8%B0%2020L</t>
        </is>
      </c>
      <c r="L58" s="14" t="inlineStr">
        <is>
          <t>2위:11번가=316,140원</t>
        </is>
      </c>
      <c r="M58" s="15" t="n">
        <v>0</v>
      </c>
      <c r="N58" s="16" t="inlineStr">
        <is>
          <t>캐리어</t>
        </is>
      </c>
      <c r="O58" s="16" t="inlineStr">
        <is>
          <t>CDHC-200AULLOXH</t>
        </is>
      </c>
      <c r="P58" s="17" t="inlineStr">
        <is>
          <t>캐리어 20L 제습기 CDHC-200AULLOXH</t>
        </is>
      </c>
      <c r="Q58" s="16" t="inlineStr">
        <is>
          <t>20</t>
        </is>
      </c>
      <c r="R58" s="17" t="inlineStr">
        <is>
          <t>습도자동조절, 만수알림, 연속배수, 상하자동회전, 풍량조절</t>
        </is>
      </c>
      <c r="S58" s="18" t="n">
        <v>47</v>
      </c>
      <c r="T58" s="15" t="n"/>
      <c r="U58" s="15" t="n"/>
      <c r="V58" s="15" t="n"/>
      <c r="W58" s="15" t="n"/>
      <c r="X58" s="12" t="n"/>
      <c r="Y58" s="19" t="n"/>
      <c r="Z58" s="17" t="inlineStr"/>
      <c r="AA58" s="17" t="inlineStr"/>
    </row>
    <row r="59" ht="30" customHeight="1">
      <c r="A59" s="9" t="n"/>
      <c r="B59" s="9">
        <f>IF(OR(H59="",I59=""),"위너가입력필요",IF(OR(T59="",U59="",V59=""),"쿠팡검증필요",IF(OR(U59="로켓그로스",T59&lt;2,V59&lt;30,D59&lt;5),"제외",IF(AND(T59&gt;=2,U59="일반",V59&gt;=100,D59&gt;=12),"S",IF(AND(T59&gt;=2,U59="일반",V59&gt;=50,D59&gt;=8),"A",IF(AND(V59&gt;=30,T59&gt;=2,D59&gt;=5),"B","C"))))))</f>
        <v/>
      </c>
      <c r="C59" s="10">
        <f>IF(H59="","",ROUND(H59-I59-H59*0.17-M59,0))</f>
        <v/>
      </c>
      <c r="D59" s="11">
        <f>IF(OR(H59="",H59=0),"",ROUND(C59/H59*100,1))</f>
        <v/>
      </c>
      <c r="E59" s="10" t="n">
        <v>404819</v>
      </c>
      <c r="F59" s="10" t="n">
        <v>448000</v>
      </c>
      <c r="G59" s="10" t="n">
        <v>473239</v>
      </c>
      <c r="H59" s="12" t="n"/>
      <c r="I59" s="13" t="n">
        <v>336000</v>
      </c>
      <c r="J59" s="14" t="inlineStr">
        <is>
          <t>롯데ON</t>
        </is>
      </c>
      <c r="K59" s="14" t="inlineStr">
        <is>
          <t>https://search.danawa.com/dsearch.php?query=%EC%BA%90%EB%A6%AC%EC%96%B4%20%EC%A0%9C%EC%8A%B5%EA%B8%B0%2020L</t>
        </is>
      </c>
      <c r="L59" s="14" t="inlineStr">
        <is>
          <t>2위:쿠팡=339,000원</t>
        </is>
      </c>
      <c r="M59" s="15" t="n">
        <v>0</v>
      </c>
      <c r="N59" s="16" t="inlineStr">
        <is>
          <t>캐리어</t>
        </is>
      </c>
      <c r="O59" s="16" t="inlineStr">
        <is>
          <t>CDHC-200AOLLOXH</t>
        </is>
      </c>
      <c r="P59" s="17" t="inlineStr">
        <is>
          <t>캐리어 20L 제습기 CDHC-200AOLLOXH</t>
        </is>
      </c>
      <c r="Q59" s="16" t="inlineStr">
        <is>
          <t>20</t>
        </is>
      </c>
      <c r="R59" s="17" t="inlineStr">
        <is>
          <t>습도자동조절, 만수알림, 연속배수, 상하자동회전, 풍량조절</t>
        </is>
      </c>
      <c r="S59" s="18" t="n">
        <v>25</v>
      </c>
      <c r="T59" s="15" t="n"/>
      <c r="U59" s="15" t="n"/>
      <c r="V59" s="15" t="n"/>
      <c r="W59" s="15" t="n"/>
      <c r="X59" s="12" t="n"/>
      <c r="Y59" s="19" t="n"/>
      <c r="Z59" s="17" t="inlineStr"/>
      <c r="AA59" s="17" t="inlineStr"/>
    </row>
    <row r="60" ht="30" customHeight="1">
      <c r="A60" s="9" t="n"/>
      <c r="B60" s="9">
        <f>IF(OR(H60="",I60=""),"위너가입력필요",IF(OR(T60="",U60="",V60=""),"쿠팡검증필요",IF(OR(U60="로켓그로스",T60&lt;2,V60&lt;30,D60&lt;5),"제외",IF(AND(T60&gt;=2,U60="일반",V60&gt;=100,D60&gt;=12),"S",IF(AND(T60&gt;=2,U60="일반",V60&gt;=50,D60&gt;=8),"A",IF(AND(V60&gt;=30,T60&gt;=2,D60&gt;=5),"B","C"))))))</f>
        <v/>
      </c>
      <c r="C60" s="10">
        <f>IF(H60="","",ROUND(H60-I60-H60*0.17-M60,0))</f>
        <v/>
      </c>
      <c r="D60" s="11">
        <f>IF(OR(H60="",H60=0),"",ROUND(C60/H60*100,1))</f>
        <v/>
      </c>
      <c r="E60" s="10" t="n">
        <v>173373</v>
      </c>
      <c r="F60" s="10" t="n">
        <v>191867</v>
      </c>
      <c r="G60" s="10" t="n">
        <v>202676</v>
      </c>
      <c r="H60" s="12" t="n"/>
      <c r="I60" s="13" t="n">
        <v>143900</v>
      </c>
      <c r="J60" s="14" t="inlineStr">
        <is>
          <t>쿠팡</t>
        </is>
      </c>
      <c r="K60" s="14" t="inlineStr">
        <is>
          <t>https://search.danawa.com/dsearch.php?query=%ED%95%9C%EA%B2%BD%ED%9D%AC%20%EC%A0%9C%EC%8A%B5%EA%B8%B0</t>
        </is>
      </c>
      <c r="L60" s="14" t="inlineStr">
        <is>
          <t>⚠쿠팡이최저=마진X / 2위:확인불가 (추가 판매처 정보 노출 안됨)</t>
        </is>
      </c>
      <c r="M60" s="15" t="n">
        <v>0</v>
      </c>
      <c r="N60" s="16" t="inlineStr">
        <is>
          <t>한경희생활과학</t>
        </is>
      </c>
      <c r="O60" s="16" t="inlineStr">
        <is>
          <t>HE-D781</t>
        </is>
      </c>
      <c r="P60" s="17" t="inlineStr">
        <is>
          <t>한경희생활과학 HE-D781</t>
        </is>
      </c>
      <c r="Q60" s="16" t="inlineStr">
        <is>
          <t>8</t>
        </is>
      </c>
      <c r="R60" s="17" t="inlineStr">
        <is>
          <t>연속배수, 풍량조절, 습도자동조절</t>
        </is>
      </c>
      <c r="S60" s="18" t="n">
        <v>18</v>
      </c>
      <c r="T60" s="15" t="n"/>
      <c r="U60" s="15" t="n"/>
      <c r="V60" s="15" t="n"/>
      <c r="W60" s="15" t="n"/>
      <c r="X60" s="12" t="n"/>
      <c r="Y60" s="19" t="n"/>
      <c r="Z60" s="17" t="inlineStr"/>
      <c r="AA60" s="17" t="inlineStr"/>
    </row>
    <row r="61" ht="30" customHeight="1">
      <c r="A61" s="9" t="n"/>
      <c r="B61" s="9">
        <f>IF(OR(H61="",I61=""),"위너가입력필요",IF(OR(T61="",U61="",V61=""),"쿠팡검증필요",IF(OR(U61="로켓그로스",T61&lt;2,V61&lt;30,D61&lt;5),"제외",IF(AND(T61&gt;=2,U61="일반",V61&gt;=100,D61&gt;=12),"S",IF(AND(T61&gt;=2,U61="일반",V61&gt;=50,D61&gt;=8),"A",IF(AND(V61&gt;=30,T61&gt;=2,D61&gt;=5),"B","C"))))))</f>
        <v/>
      </c>
      <c r="C61" s="10">
        <f>IF(H61="","",ROUND(H61-I61-H61*0.17-M61,0))</f>
        <v/>
      </c>
      <c r="D61" s="11">
        <f>IF(OR(H61="",H61=0),"",ROUND(C61/H61*100,1))</f>
        <v/>
      </c>
      <c r="E61" s="10" t="n">
        <v>173687</v>
      </c>
      <c r="F61" s="10" t="n">
        <v>192213</v>
      </c>
      <c r="G61" s="10" t="n">
        <v>203042</v>
      </c>
      <c r="H61" s="12" t="n"/>
      <c r="I61" s="13" t="n">
        <v>144160</v>
      </c>
      <c r="J61" s="14" t="inlineStr">
        <is>
          <t>쿠팡</t>
        </is>
      </c>
      <c r="K61" s="14" t="inlineStr">
        <is>
          <t>https://search.danawa.com/dsearch.php?query=%ED%95%9C%EA%B2%BD%ED%9D%AC%20%EC%A0%9C%EC%8A%B5%EA%B8%B0</t>
        </is>
      </c>
      <c r="L61" s="14" t="inlineStr">
        <is>
          <t>⚠쿠팡이최저=마진X / 2위:네이버페이=174,400원</t>
        </is>
      </c>
      <c r="M61" s="15" t="n">
        <v>0</v>
      </c>
      <c r="N61" s="16" t="inlineStr">
        <is>
          <t>한경희생활과학</t>
        </is>
      </c>
      <c r="O61" s="16" t="inlineStr">
        <is>
          <t>HE-D780</t>
        </is>
      </c>
      <c r="P61" s="17" t="inlineStr">
        <is>
          <t>한경희생활과학 HE-D780</t>
        </is>
      </c>
      <c r="Q61" s="16" t="inlineStr">
        <is>
          <t>8</t>
        </is>
      </c>
      <c r="R61" s="17" t="inlineStr">
        <is>
          <t>연속배수, 풍량조절, 습도자동조절</t>
        </is>
      </c>
      <c r="S61" s="18" t="n">
        <v>15</v>
      </c>
      <c r="T61" s="15" t="n"/>
      <c r="U61" s="15" t="n"/>
      <c r="V61" s="15" t="n"/>
      <c r="W61" s="15" t="n"/>
      <c r="X61" s="12" t="n"/>
      <c r="Y61" s="19" t="n"/>
      <c r="Z61" s="17" t="inlineStr"/>
      <c r="AA61" s="17" t="inlineStr"/>
    </row>
    <row r="62" ht="30" customHeight="1">
      <c r="A62" s="9" t="n"/>
      <c r="B62" s="9">
        <f>IF(OR(H62="",I62=""),"위너가입력필요",IF(OR(T62="",U62="",V62=""),"쿠팡검증필요",IF(OR(U62="로켓그로스",T62&lt;2,V62&lt;30,D62&lt;5),"제외",IF(AND(T62&gt;=2,U62="일반",V62&gt;=100,D62&gt;=12),"S",IF(AND(T62&gt;=2,U62="일반",V62&gt;=50,D62&gt;=8),"A",IF(AND(V62&gt;=30,T62&gt;=2,D62&gt;=5),"B","C"))))))</f>
        <v/>
      </c>
      <c r="C62" s="10">
        <f>IF(H62="","",ROUND(H62-I62-H62*0.17-M62,0))</f>
        <v/>
      </c>
      <c r="D62" s="11">
        <f>IF(OR(H62="",H62=0),"",ROUND(C62/H62*100,1))</f>
        <v/>
      </c>
      <c r="E62" s="10" t="n">
        <v>175904</v>
      </c>
      <c r="F62" s="10" t="n">
        <v>194667</v>
      </c>
      <c r="G62" s="10" t="n">
        <v>205634</v>
      </c>
      <c r="H62" s="12" t="n"/>
      <c r="I62" s="13" t="n">
        <v>146000</v>
      </c>
      <c r="J62" s="14" t="inlineStr">
        <is>
          <t>쿠팡</t>
        </is>
      </c>
      <c r="K62" s="14" t="inlineStr">
        <is>
          <t>https://search.danawa.com/dsearch.php?query=%ED%95%9C%EA%B2%BD%ED%9D%AC%20%EC%A0%9C%EC%8A%B5%EA%B8%B0</t>
        </is>
      </c>
      <c r="L62" s="14" t="inlineStr">
        <is>
          <t>⚠쿠팡이최저=마진X / 2위:없음 (판매처 1곳)</t>
        </is>
      </c>
      <c r="M62" s="15" t="n">
        <v>0</v>
      </c>
      <c r="N62" s="16" t="inlineStr">
        <is>
          <t>한경희생활과학</t>
        </is>
      </c>
      <c r="O62" s="16" t="inlineStr">
        <is>
          <t>HEHD-B0712WTN</t>
        </is>
      </c>
      <c r="P62" s="17" t="inlineStr">
        <is>
          <t>한경희생활과학 HEHD-B0712WTN</t>
        </is>
      </c>
      <c r="Q62" s="16" t="inlineStr">
        <is>
          <t>8</t>
        </is>
      </c>
      <c r="R62" s="17" t="inlineStr">
        <is>
          <t>연속배수, 풍량조절, 습도자동조절</t>
        </is>
      </c>
      <c r="S62" s="18" t="n">
        <v>4</v>
      </c>
      <c r="T62" s="15" t="n"/>
      <c r="U62" s="15" t="n"/>
      <c r="V62" s="15" t="n"/>
      <c r="W62" s="15" t="n"/>
      <c r="X62" s="12" t="n"/>
      <c r="Y62" s="19" t="n"/>
      <c r="Z62" s="17" t="inlineStr"/>
      <c r="AA62" s="17" t="inlineStr"/>
    </row>
    <row r="63" ht="30" customHeight="1">
      <c r="A63" s="9" t="n"/>
      <c r="B63" s="9">
        <f>IF(OR(H63="",I63=""),"위너가입력필요",IF(OR(T63="",U63="",V63=""),"쿠팡검증필요",IF(OR(U63="로켓그로스",T63&lt;2,V63&lt;30,D63&lt;5),"제외",IF(AND(T63&gt;=2,U63="일반",V63&gt;=100,D63&gt;=12),"S",IF(AND(T63&gt;=2,U63="일반",V63&gt;=50,D63&gt;=8),"A",IF(AND(V63&gt;=30,T63&gt;=2,D63&gt;=5),"B","C"))))))</f>
        <v/>
      </c>
      <c r="C63" s="10">
        <f>IF(H63="","",ROUND(H63-I63-H63*0.17-M63,0))</f>
        <v/>
      </c>
      <c r="D63" s="11">
        <f>IF(OR(H63="",H63=0),"",ROUND(C63/H63*100,1))</f>
        <v/>
      </c>
      <c r="E63" s="10" t="n">
        <v>220530</v>
      </c>
      <c r="F63" s="10" t="n">
        <v>244053</v>
      </c>
      <c r="G63" s="10" t="n">
        <v>257803</v>
      </c>
      <c r="H63" s="12" t="n"/>
      <c r="I63" s="13" t="n">
        <v>183040</v>
      </c>
      <c r="J63" s="14" t="inlineStr">
        <is>
          <t>쿠팡</t>
        </is>
      </c>
      <c r="K63" s="14" t="inlineStr">
        <is>
          <t>https://search.danawa.com/dsearch.php?query=%ED%95%9C%EA%B2%BD%ED%9D%AC%20%EC%A0%9C%EC%8A%B5%EA%B8%B0</t>
        </is>
      </c>
      <c r="L63" s="14" t="inlineStr">
        <is>
          <t>⚠쿠팡이최저=마진X / 2위:없음 (추가 판매처 미확인)</t>
        </is>
      </c>
      <c r="M63" s="15" t="n">
        <v>0</v>
      </c>
      <c r="N63" s="16" t="inlineStr">
        <is>
          <t>한경희생활과학</t>
        </is>
      </c>
      <c r="O63" s="16" t="inlineStr">
        <is>
          <t>HEDH-B1890</t>
        </is>
      </c>
      <c r="P63" s="17" t="inlineStr">
        <is>
          <t>한경희생활과학 HEDH-B1890</t>
        </is>
      </c>
      <c r="Q63" s="16" t="inlineStr">
        <is>
          <t>13</t>
        </is>
      </c>
      <c r="R63" s="17" t="inlineStr">
        <is>
          <t>연속배수, 풍량조절, 공기청정, 습도자동조절</t>
        </is>
      </c>
      <c r="S63" s="18" t="n">
        <v>9</v>
      </c>
      <c r="T63" s="15" t="n"/>
      <c r="U63" s="15" t="n"/>
      <c r="V63" s="15" t="n"/>
      <c r="W63" s="15" t="n"/>
      <c r="X63" s="12" t="n"/>
      <c r="Y63" s="19" t="n"/>
      <c r="Z63" s="17" t="inlineStr"/>
      <c r="AA63" s="17" t="inlineStr"/>
    </row>
    <row r="64" ht="30" customHeight="1">
      <c r="A64" s="9" t="n"/>
      <c r="B64" s="9">
        <f>IF(OR(H64="",I64=""),"위너가입력필요",IF(OR(T64="",U64="",V64=""),"쿠팡검증필요",IF(OR(U64="로켓그로스",T64&lt;2,V64&lt;30,D64&lt;5),"제외",IF(AND(T64&gt;=2,U64="일반",V64&gt;=100,D64&gt;=12),"S",IF(AND(T64&gt;=2,U64="일반",V64&gt;=50,D64&gt;=8),"A",IF(AND(V64&gt;=30,T64&gt;=2,D64&gt;=5),"B","C"))))))</f>
        <v/>
      </c>
      <c r="C64" s="10">
        <f>IF(H64="","",ROUND(H64-I64-H64*0.17-M64,0))</f>
        <v/>
      </c>
      <c r="D64" s="11">
        <f>IF(OR(H64="",H64=0),"",ROUND(C64/H64*100,1))</f>
        <v/>
      </c>
      <c r="E64" s="10" t="n">
        <v>227711</v>
      </c>
      <c r="F64" s="10" t="n">
        <v>252000</v>
      </c>
      <c r="G64" s="10" t="n">
        <v>266197</v>
      </c>
      <c r="H64" s="12" t="n"/>
      <c r="I64" s="13" t="n">
        <v>189000</v>
      </c>
      <c r="J64" s="14" t="inlineStr">
        <is>
          <t>11번가</t>
        </is>
      </c>
      <c r="K64" s="14" t="inlineStr">
        <is>
          <t>https://search.danawa.com/dsearch.php?query=%ED%95%9C%EA%B2%BD%ED%9D%AC%20%EC%A0%9C%EC%8A%B5%EA%B8%B0</t>
        </is>
      </c>
      <c r="L64" s="14" t="inlineStr">
        <is>
          <t>2위:네이버페이=189,500원</t>
        </is>
      </c>
      <c r="M64" s="15" t="n">
        <v>0</v>
      </c>
      <c r="N64" s="16" t="inlineStr">
        <is>
          <t>한경희생활과학</t>
        </is>
      </c>
      <c r="O64" s="16" t="inlineStr">
        <is>
          <t>HEHD-B0712WT</t>
        </is>
      </c>
      <c r="P64" s="17" t="inlineStr">
        <is>
          <t>한경희생활과학 HEHD-B0712WT</t>
        </is>
      </c>
      <c r="Q64" s="16" t="inlineStr">
        <is>
          <t>8</t>
        </is>
      </c>
      <c r="R64" s="17" t="inlineStr">
        <is>
          <t>연속배수, 풍량조절, 습도자동조절</t>
        </is>
      </c>
      <c r="S64" s="18" t="n">
        <v>28</v>
      </c>
      <c r="T64" s="15" t="n"/>
      <c r="U64" s="15" t="n"/>
      <c r="V64" s="15" t="n"/>
      <c r="W64" s="15" t="n"/>
      <c r="X64" s="12" t="n"/>
      <c r="Y64" s="19" t="n"/>
      <c r="Z64" s="17" t="inlineStr">
        <is>
          <t>쿠팡 인기·리뷰 신호 있음(리드 수준, 미검증). 2차 자료상 쿠팡에서 로켓배송으로 판매되며 리뷰가 200건대 규모라는 언급이 확인됨(정확한 수치는 검증 불가, 신호로만 취급). 한경희 '상쾌HAAN 12L/13L 제습기'로 다나와·11번가·GS SHOP·신세계몰·롯데아이몰·이랜드몰 등 다수 대형몰에 동시 입점된 유통 폭이 넓은 모델이라 쿠팡에서도 노출·판매 활발할 가능성 높음. 종합 별점은 대체로 4.5점대(다나와 4.5/154건, GS SHOP 4.5/7건 등 타몰 기준)로 우호적 신호. 단, 이는 쿠팡 확정 리뷰수가 아니라 2차·타몰 자료 기반 리드임.</t>
        </is>
      </c>
      <c r="AA64" s="17" t="inlineStr">
        <is>
          <t>성능 관련: '일일 제습량 8L, 적용면적 약 9평(30.17㎡)'급 소형 스펙인데 제품명은 '12L/13L'로 표기되어 몰마다 용량 표기가 12L·13L·8L로 혼재 → 용량 과장/오인 소지(확인필요). 소음 35dB 표기지만 후기 중 '코웨이 대비 조금 시끄럽다'는 성능불만 신호 존재. 배수호스 길이·본체 견고성에 대한 불만 피드백 언급. 배송 지연 및 배송 상태(파손 등) 관련 부정 후기 존재. 반품은 수령 후 7일 이내, 표시·광고와 다를 경우 3개월 이내 가능. 전반적으로 치명적 리스크보다는 '용량 표기 혼선 + 소음 + 배송품질' 수준의 중간 신호.</t>
        </is>
      </c>
    </row>
    <row r="65" ht="30" customHeight="1">
      <c r="A65" s="9" t="n"/>
      <c r="B65" s="9">
        <f>IF(OR(H65="",I65=""),"위너가입력필요",IF(OR(T65="",U65="",V65=""),"쿠팡검증필요",IF(OR(U65="로켓그로스",T65&lt;2,V65&lt;30,D65&lt;5),"제외",IF(AND(T65&gt;=2,U65="일반",V65&gt;=100,D65&gt;=12),"S",IF(AND(T65&gt;=2,U65="일반",V65&gt;=50,D65&gt;=8),"A",IF(AND(V65&gt;=30,T65&gt;=2,D65&gt;=5),"B","C"))))))</f>
        <v/>
      </c>
      <c r="C65" s="10">
        <f>IF(H65="","",ROUND(H65-I65-H65*0.17-M65,0))</f>
        <v/>
      </c>
      <c r="D65" s="11">
        <f>IF(OR(H65="",H65=0),"",ROUND(C65/H65*100,1))</f>
        <v/>
      </c>
      <c r="E65" s="10" t="n">
        <v>72169</v>
      </c>
      <c r="F65" s="10" t="n">
        <v>79867</v>
      </c>
      <c r="G65" s="10" t="n">
        <v>84366</v>
      </c>
      <c r="H65" s="12" t="n"/>
      <c r="I65" s="13" t="n">
        <v>59900</v>
      </c>
      <c r="J65" s="14" t="inlineStr">
        <is>
          <t>쿠팡</t>
        </is>
      </c>
      <c r="K65" s="14" t="inlineStr">
        <is>
          <t>https://search.danawa.com/dsearch.php?query=%ED%95%9C%EA%B2%BD%ED%9D%AC%20%EC%A0%9C%EC%8A%B5%EA%B8%B0</t>
        </is>
      </c>
      <c r="L65" s="14" t="inlineStr">
        <is>
          <t>⚠쿠팡이최저=마진X / 2위:오늘의집=59,900원</t>
        </is>
      </c>
      <c r="M65" s="15" t="n">
        <v>0</v>
      </c>
      <c r="N65" s="16" t="inlineStr">
        <is>
          <t>한경희이지라이프</t>
        </is>
      </c>
      <c r="O65" s="16" t="inlineStr">
        <is>
          <t>HD-1500</t>
        </is>
      </c>
      <c r="P65" s="17" t="inlineStr">
        <is>
          <t>한경희이지라이프 HD-1500</t>
        </is>
      </c>
      <c r="Q65" s="16" t="inlineStr">
        <is>
          <t>0.3</t>
        </is>
      </c>
      <c r="R65" s="17" t="inlineStr"/>
      <c r="S65" s="18" t="n">
        <v>26</v>
      </c>
      <c r="T65" s="15" t="n"/>
      <c r="U65" s="15" t="n"/>
      <c r="V65" s="15" t="n"/>
      <c r="W65" s="15" t="n"/>
      <c r="X65" s="12" t="n"/>
      <c r="Y65" s="19" t="n"/>
      <c r="Z65" s="17" t="inlineStr">
        <is>
          <t>[신호/리드, 미검증] HD-1500 개별 모델에 대한 쿠팡 리뷰 수·인기 지표를 직접 확인할 수 있는 2차 자료(블로그/유튜브/네이버)는 검색에서 발견되지 않음. 다만 상위 브랜드인 '한경희생활과학/한경희이지라이프'는 쿠팡에 공식 브랜드샵(brand-shop)을 운영 중이며(쿠팡 브랜드 추천 페이지 노출), 가습기 등 일부 한경희이지라이프 제품은 개별 상품 페이지가 존재해 브랜드 차원의 쿠팡 유통·노출은 활성 상태로 보임. 즉 HD-1500 단일 모델의 인기/리뷰 규모는 '미확인'이며, 브랜드 레벨 존재감만 확인되는 리드 수준.</t>
        </is>
      </c>
      <c r="AA65" s="17" t="inlineStr">
        <is>
          <t>[위험 신호 리드, 미검증] ①성능불만: 한경희 스팀청소기 계열 후기에서 '닦은 뒤 물기가 많이 남음', '세척력 다소 약함', '역방향으로 밀지 않으면 발자국 남음' 지적 반복(82cook/클리앙). ②AS/사후대응 리스크: 고객이 단점 제기 시 서비스센터 대응이 부정적이라는 언급, '최근 AS센터가 전부 문을 닫았다'는 주장 존재(미검증, 확인필요). ③바이럴/과장광고 우려: 쿠팡 리뷰 전반에 대해 '바이럴 작업', '리뷰가 지나치게 정성스럽다'는 소비자 커뮤니티(클리앙) 지적 다수 — 특정 제품 확정 아님, 쿠팡 리뷰 신뢰성 일반론. ④반품: 수령 7일 이내 반품/교환 가능, 불량·오배송 시 반품비 무료(브랜드 정책). HD-1500 특정 반품률 데이터는 없음.</t>
        </is>
      </c>
    </row>
    <row r="66" ht="30" customHeight="1">
      <c r="A66" s="9" t="n"/>
      <c r="B66" s="9">
        <f>IF(OR(H66="",I66=""),"위너가입력필요",IF(OR(T66="",U66="",V66=""),"쿠팡검증필요",IF(OR(U66="로켓그로스",T66&lt;2,V66&lt;30,D66&lt;5),"제외",IF(AND(T66&gt;=2,U66="일반",V66&gt;=100,D66&gt;=12),"S",IF(AND(T66&gt;=2,U66="일반",V66&gt;=50,D66&gt;=8),"A",IF(AND(V66&gt;=30,T66&gt;=2,D66&gt;=5),"B","C"))))))</f>
        <v/>
      </c>
      <c r="C66" s="10">
        <f>IF(H66="","",ROUND(H66-I66-H66*0.17-M66,0))</f>
        <v/>
      </c>
      <c r="D66" s="11">
        <f>IF(OR(H66="",H66=0),"",ROUND(C66/H66*100,1))</f>
        <v/>
      </c>
      <c r="E66" s="10" t="n">
        <v>239217</v>
      </c>
      <c r="F66" s="10" t="n">
        <v>264733</v>
      </c>
      <c r="G66" s="10" t="n">
        <v>279648</v>
      </c>
      <c r="H66" s="12" t="n"/>
      <c r="I66" s="13" t="n">
        <v>198550</v>
      </c>
      <c r="J66" s="14" t="inlineStr">
        <is>
          <t>쿠팡</t>
        </is>
      </c>
      <c r="K66" s="14" t="inlineStr">
        <is>
          <t>https://search.danawa.com/dsearch.php?query=%ED%95%9C%EA%B2%BD%ED%9D%AC%20%EC%A0%9C%EC%8A%B5%EA%B8%B0</t>
        </is>
      </c>
      <c r="L66" s="14" t="inlineStr">
        <is>
          <t>⚠쿠팡이최저=마진X / 2위:네이버페이=224,500원</t>
        </is>
      </c>
      <c r="M66" s="15" t="n">
        <v>0</v>
      </c>
      <c r="N66" s="16" t="inlineStr">
        <is>
          <t>한경희이지라이프</t>
        </is>
      </c>
      <c r="O66" s="16" t="inlineStr">
        <is>
          <t>HE-D720</t>
        </is>
      </c>
      <c r="P66" s="17" t="inlineStr">
        <is>
          <t>한경희이지라이프 HE-D720</t>
        </is>
      </c>
      <c r="Q66" s="16" t="inlineStr">
        <is>
          <t>12</t>
        </is>
      </c>
      <c r="R66" s="17" t="inlineStr">
        <is>
          <t>연속배수, 풍량조절, 습도자동조절</t>
        </is>
      </c>
      <c r="S66" s="18" t="n">
        <v>21</v>
      </c>
      <c r="T66" s="15" t="n"/>
      <c r="U66" s="15" t="n"/>
      <c r="V66" s="15" t="n"/>
      <c r="W66" s="15" t="n"/>
      <c r="X66" s="12" t="n"/>
      <c r="Y66" s="19" t="n"/>
      <c r="Z66" s="17" t="inlineStr"/>
      <c r="AA66" s="17" t="inlineStr"/>
    </row>
    <row r="67" ht="30" customHeight="1">
      <c r="A67" s="9" t="n"/>
      <c r="B67" s="9">
        <f>IF(OR(H67="",I67=""),"위너가입력필요",IF(OR(T67="",U67="",V67=""),"쿠팡검증필요",IF(OR(U67="로켓그로스",T67&lt;2,V67&lt;30,D67&lt;5),"제외",IF(AND(T67&gt;=2,U67="일반",V67&gt;=100,D67&gt;=12),"S",IF(AND(T67&gt;=2,U67="일반",V67&gt;=50,D67&gt;=8),"A",IF(AND(V67&gt;=30,T67&gt;=2,D67&gt;=5),"B","C"))))))</f>
        <v/>
      </c>
      <c r="C67" s="10">
        <f>IF(H67="","",ROUND(H67-I67-H67*0.17-M67,0))</f>
        <v/>
      </c>
      <c r="D67" s="11">
        <f>IF(OR(H67="",H67=0),"",ROUND(C67/H67*100,1))</f>
        <v/>
      </c>
      <c r="E67" s="10" t="n">
        <v>104819</v>
      </c>
      <c r="F67" s="10" t="n">
        <v>116000</v>
      </c>
      <c r="G67" s="10" t="n">
        <v>122535</v>
      </c>
      <c r="H67" s="12" t="n"/>
      <c r="I67" s="13" t="n">
        <v>87000</v>
      </c>
      <c r="J67" s="14" t="inlineStr">
        <is>
          <t>쿠팡</t>
        </is>
      </c>
      <c r="K67" s="14" t="inlineStr">
        <is>
          <t>https://search.danawa.com/dsearch.php?query=%EB%B3%B4%EC%95%84%EB%A5%B4%20%EC%A0%9C%EC%8A%B5%EA%B8%B0</t>
        </is>
      </c>
      <c r="L67" s="14" t="inlineStr">
        <is>
          <t>⚠쿠팡이최저=마진X / 2위:보아르샵 네이버페이=89,000원</t>
        </is>
      </c>
      <c r="M67" s="15" t="n">
        <v>0</v>
      </c>
      <c r="N67" s="16" t="inlineStr">
        <is>
          <t>보아르</t>
        </is>
      </c>
      <c r="O67" s="16" t="inlineStr">
        <is>
          <t>VO-DH004</t>
        </is>
      </c>
      <c r="P67" s="17" t="inlineStr">
        <is>
          <t>보아르 모아 파인 F2000</t>
        </is>
      </c>
      <c r="Q67" s="16" t="inlineStr">
        <is>
          <t>0.75</t>
        </is>
      </c>
      <c r="R67" s="17" t="inlineStr">
        <is>
          <t>만수알림, 연속배수, 수위표시</t>
        </is>
      </c>
      <c r="S67" s="18" t="n">
        <v>27</v>
      </c>
      <c r="T67" s="15" t="n"/>
      <c r="U67" s="15" t="n"/>
      <c r="V67" s="15" t="n"/>
      <c r="W67" s="15" t="n"/>
      <c r="X67" s="12" t="n"/>
      <c r="Y67" s="19" t="n"/>
      <c r="Z67" s="17" t="inlineStr">
        <is>
          <t>[신호/리드 — 확정 아님] 쿠팡에 "오아&amp;보아르" 공식 브랜드 스토어(shop.coupang.com/A00065399)가 존재하고 정가 97,000원에서 약 10% 할인 87,000원대로 판매 중이라는 2차 언급이 있음. 다나와 DPG·퀘이사존·무신사 등에 구매 후기 콘텐츠가 다수 존재해 '유통·후기 언급량은 있는 편'으로 판단. 검색 스니펫상 별점 4.2 / 리뷰 약 630건 수치가 등장하나 이는 쿠팡 확정 리뷰 수로 검증되지 않은 2차 신호이므로 리드로만 취급. 종합: 대형 히트 상품 수준의 강한 신호는 아니고 '중간 정도의 관심·후기 존재' 신호.</t>
        </is>
      </c>
      <c r="AA67" s="17" t="inlineStr">
        <is>
          <t>[성능불만] 원룸 실내 제습·빨래 실내건조 용도로는 무리라는 후기(일일제습 0.75L 소형 펠티어 방식 한계). 터보모드 바람세기가 약하다는 지적. [소음] 터보모드 동작음이 심해 외출 시 가동 권장한다는 후기 — 소음 불만 신호. [과장광고 잠재] '원룸형 제습기'로 마케팅되나 실사용 제습·건조 성능이 기대 이하라는 괴리 → 성능 기대치 관련 반품/불만 리스크 가능. 긍정 후기(제습 잘된다)도 병존해 개인 기대치 편차 큼.</t>
        </is>
      </c>
    </row>
    <row r="68" ht="30" customHeight="1">
      <c r="A68" s="9" t="n"/>
      <c r="B68" s="9">
        <f>IF(OR(H68="",I68=""),"위너가입력필요",IF(OR(T68="",U68="",V68=""),"쿠팡검증필요",IF(OR(U68="로켓그로스",T68&lt;2,V68&lt;30,D68&lt;5),"제외",IF(AND(T68&gt;=2,U68="일반",V68&gt;=100,D68&gt;=12),"S",IF(AND(T68&gt;=2,U68="일반",V68&gt;=50,D68&gt;=8),"A",IF(AND(V68&gt;=30,T68&gt;=2,D68&gt;=5),"B","C"))))))</f>
        <v/>
      </c>
      <c r="C68" s="10">
        <f>IF(H68="","",ROUND(H68-I68-H68*0.17-M68,0))</f>
        <v/>
      </c>
      <c r="D68" s="11">
        <f>IF(OR(H68="",H68=0),"",ROUND(C68/H68*100,1))</f>
        <v/>
      </c>
      <c r="E68" s="10" t="n">
        <v>113253</v>
      </c>
      <c r="F68" s="10" t="n">
        <v>125333</v>
      </c>
      <c r="G68" s="10" t="n">
        <v>132394</v>
      </c>
      <c r="H68" s="12" t="n"/>
      <c r="I68" s="13" t="n">
        <v>94000</v>
      </c>
      <c r="J68" s="14" t="inlineStr">
        <is>
          <t>쿠팡</t>
        </is>
      </c>
      <c r="K68" s="14" t="inlineStr">
        <is>
          <t>https://search.danawa.com/dsearch.php?query=%EB%B3%B4%EC%95%84%EB%A5%B4%20%EC%A0%9C%EC%8A%B5%EA%B8%B0</t>
        </is>
      </c>
      <c r="L68" s="14" t="inlineStr">
        <is>
          <t>⚠쿠팡이최저=마진X / 2위:SK스토아=99,000원</t>
        </is>
      </c>
      <c r="M68" s="15" t="n">
        <v>0</v>
      </c>
      <c r="N68" s="16" t="inlineStr">
        <is>
          <t>보아르</t>
        </is>
      </c>
      <c r="O68" s="16" t="inlineStr">
        <is>
          <t>VO-DH002</t>
        </is>
      </c>
      <c r="P68" s="17" t="inlineStr">
        <is>
          <t>보아르 모아 M1000</t>
        </is>
      </c>
      <c r="Q68" s="16" t="inlineStr">
        <is>
          <t>0.75</t>
        </is>
      </c>
      <c r="R68" s="17" t="inlineStr">
        <is>
          <t>만수알림, 공기청정</t>
        </is>
      </c>
      <c r="S68" s="18" t="n">
        <v>49</v>
      </c>
      <c r="T68" s="15" t="n"/>
      <c r="U68" s="15" t="n"/>
      <c r="V68" s="15" t="n"/>
      <c r="W68" s="15" t="n"/>
      <c r="X68" s="12" t="n"/>
      <c r="Y68" s="19" t="n"/>
      <c r="Z68" s="17" t="inlineStr">
        <is>
          <t>쿠팡 직접 접근 불가로 확정 리뷰 수 검증 불가. 2차 자료 기준 '신호/리드'만 정리: (1) 블로그·리뷰 콘텐츠가 다수 존재하며 '제습기 추천 총정리', '내돈내산 실사용 후기 모음' 등 어필리에이트성 소개글에 반복 등장 → 온라인 노출/판매 유통이 활발한 모델로 추정. (2) SSG.COM 기준 평점 4.6/5, 리뷰 84건(쿠팡 아님, 참고용 벤치마크). (3) 다나와 가격비교, 11번가, 홈쇼핑모아, nosearch 등 여러 채널에 등재 → 대중 유통 제품. 쿠팡 자체의 인기/리뷰 수치는 이번 검색으로 확인되지 않음(추가 확인 필요).</t>
        </is>
      </c>
      <c r="AA68" s="17" t="inlineStr">
        <is>
          <t>신호 수준 위험: (1) 소음 불만 — '밤에는 끄고 자야 할 정도로 소음 있음' 후기 존재(제품 특성상 성능불만 소지). (2) 배송/품질 — 택배 과정에서 내부 필터 손상 사례 언급 → 반품/교환 유발 가능. (3) 이동성 불만 — 작은 사이즈 대비 무겁고 허리 숙여 옮겨야 함. (4) 소형(0.75L/9평) 제품이라 실사용 대비 기대치 과대 시 성능불만·반품 리스크. 명백한 허위/과장광고 신호는 이번 검색에서 특정되지 않음(추가 확인 필요).</t>
        </is>
      </c>
    </row>
    <row r="69" ht="30" customHeight="1">
      <c r="A69" s="9" t="n"/>
      <c r="B69" s="9">
        <f>IF(OR(H69="",I69=""),"위너가입력필요",IF(OR(T69="",U69="",V69=""),"쿠팡검증필요",IF(OR(U69="로켓그로스",T69&lt;2,V69&lt;30,D69&lt;5),"제외",IF(AND(T69&gt;=2,U69="일반",V69&gt;=100,D69&gt;=12),"S",IF(AND(T69&gt;=2,U69="일반",V69&gt;=50,D69&gt;=8),"A",IF(AND(V69&gt;=30,T69&gt;=2,D69&gt;=5),"B","C"))))))</f>
        <v/>
      </c>
      <c r="C69" s="10">
        <f>IF(H69="","",ROUND(H69-I69-H69*0.17-M69,0))</f>
        <v/>
      </c>
      <c r="D69" s="11">
        <f>IF(OR(H69="",H69=0),"",ROUND(C69/H69*100,1))</f>
        <v/>
      </c>
      <c r="E69" s="10" t="n">
        <v>115880</v>
      </c>
      <c r="F69" s="10" t="n">
        <v>128240</v>
      </c>
      <c r="G69" s="10" t="n">
        <v>135465</v>
      </c>
      <c r="H69" s="12" t="n"/>
      <c r="I69" s="13" t="n">
        <v>96180</v>
      </c>
      <c r="J69" s="14" t="inlineStr">
        <is>
          <t>(미확인)</t>
        </is>
      </c>
      <c r="K69" s="14" t="inlineStr">
        <is>
          <t>https://search.danawa.com/dsearch.php?query=%EB%B3%B4%EC%95%84%EB%A5%B4%20%EC%A0%9C%EC%8A%B5%EA%B8%B0</t>
        </is>
      </c>
      <c r="L69" s="14" t="inlineStr"/>
      <c r="M69" s="15" t="n">
        <v>0</v>
      </c>
      <c r="N69" s="16" t="inlineStr">
        <is>
          <t>보아르</t>
        </is>
      </c>
      <c r="O69" s="16" t="inlineStr"/>
      <c r="P69" s="17" t="inlineStr">
        <is>
          <t>보아르 모아 S2000</t>
        </is>
      </c>
      <c r="Q69" s="16" t="inlineStr">
        <is>
          <t>0.5</t>
        </is>
      </c>
      <c r="R69" s="17" t="inlineStr">
        <is>
          <t>습도자동조절, UV살균, 성에제거, 습도표시, 풍량조절, 만수알림, 타이머</t>
        </is>
      </c>
      <c r="S69" s="18" t="n">
        <v>23</v>
      </c>
      <c r="T69" s="15" t="n"/>
      <c r="U69" s="15" t="n"/>
      <c r="V69" s="15" t="n"/>
      <c r="W69" s="15" t="n"/>
      <c r="X69" s="12" t="n"/>
      <c r="Y69" s="19" t="n"/>
      <c r="Z69" s="17" t="inlineStr"/>
      <c r="AA69" s="17" t="inlineStr">
        <is>
          <t>소형(미니) 제습기, 모델번호 미표기</t>
        </is>
      </c>
    </row>
    <row r="70" ht="30" customHeight="1">
      <c r="A70" s="9" t="n"/>
      <c r="B70" s="9">
        <f>IF(OR(H70="",I70=""),"위너가입력필요",IF(OR(T70="",U70="",V70=""),"쿠팡검증필요",IF(OR(U70="로켓그로스",T70&lt;2,V70&lt;30,D70&lt;5),"제외",IF(AND(T70&gt;=2,U70="일반",V70&gt;=100,D70&gt;=12),"S",IF(AND(T70&gt;=2,U70="일반",V70&gt;=50,D70&gt;=8),"A",IF(AND(V70&gt;=30,T70&gt;=2,D70&gt;=5),"B","C"))))))</f>
        <v/>
      </c>
      <c r="C70" s="10">
        <f>IF(H70="","",ROUND(H70-I70-H70*0.17-M70,0))</f>
        <v/>
      </c>
      <c r="D70" s="11">
        <f>IF(OR(H70="",H70=0),"",ROUND(C70/H70*100,1))</f>
        <v/>
      </c>
      <c r="E70" s="10" t="n">
        <v>119277</v>
      </c>
      <c r="F70" s="10" t="n">
        <v>132000</v>
      </c>
      <c r="G70" s="10" t="n">
        <v>139437</v>
      </c>
      <c r="H70" s="12" t="n"/>
      <c r="I70" s="13" t="n">
        <v>99000</v>
      </c>
      <c r="J70" s="14" t="inlineStr">
        <is>
          <t>(미확인)</t>
        </is>
      </c>
      <c r="K70" s="14" t="inlineStr">
        <is>
          <t>https://search.danawa.com/dsearch.php?query=%EB%B3%B4%EC%95%84%EB%A5%B4%20%EC%A0%9C%EC%8A%B5%EA%B8%B0</t>
        </is>
      </c>
      <c r="L70" s="14" t="inlineStr"/>
      <c r="M70" s="15" t="n">
        <v>0</v>
      </c>
      <c r="N70" s="16" t="inlineStr">
        <is>
          <t>보아르</t>
        </is>
      </c>
      <c r="O70" s="16" t="inlineStr"/>
      <c r="P70" s="17" t="inlineStr">
        <is>
          <t>보아르 모아 S3200</t>
        </is>
      </c>
      <c r="Q70" s="16" t="inlineStr">
        <is>
          <t>0.65</t>
        </is>
      </c>
      <c r="R70" s="17" t="inlineStr">
        <is>
          <t>만수알림, 공기청정, 타이머</t>
        </is>
      </c>
      <c r="S70" s="18" t="n">
        <v>18</v>
      </c>
      <c r="T70" s="15" t="n"/>
      <c r="U70" s="15" t="n"/>
      <c r="V70" s="15" t="n"/>
      <c r="W70" s="15" t="n"/>
      <c r="X70" s="12" t="n"/>
      <c r="Y70" s="19" t="n"/>
      <c r="Z70" s="17" t="inlineStr"/>
      <c r="AA70" s="17" t="inlineStr">
        <is>
          <t>소형(미니) 제습기, 모델번호 미표기</t>
        </is>
      </c>
    </row>
    <row r="71" ht="30" customHeight="1">
      <c r="A71" s="9" t="n"/>
      <c r="B71" s="9">
        <f>IF(OR(H71="",I71=""),"위너가입력필요",IF(OR(T71="",U71="",V71=""),"쿠팡검증필요",IF(OR(U71="로켓그로스",T71&lt;2,V71&lt;30,D71&lt;5),"제외",IF(AND(T71&gt;=2,U71="일반",V71&gt;=100,D71&gt;=12),"S",IF(AND(T71&gt;=2,U71="일반",V71&gt;=50,D71&gt;=8),"A",IF(AND(V71&gt;=30,T71&gt;=2,D71&gt;=5),"B","C"))))))</f>
        <v/>
      </c>
      <c r="C71" s="10">
        <f>IF(H71="","",ROUND(H71-I71-H71*0.17-M71,0))</f>
        <v/>
      </c>
      <c r="D71" s="11">
        <f>IF(OR(H71="",H71=0),"",ROUND(C71/H71*100,1))</f>
        <v/>
      </c>
      <c r="E71" s="10" t="n">
        <v>178313</v>
      </c>
      <c r="F71" s="10" t="n">
        <v>197333</v>
      </c>
      <c r="G71" s="10" t="n">
        <v>208451</v>
      </c>
      <c r="H71" s="12" t="n"/>
      <c r="I71" s="13" t="n">
        <v>148000</v>
      </c>
      <c r="J71" s="14" t="inlineStr">
        <is>
          <t>쿠팡</t>
        </is>
      </c>
      <c r="K71" s="14" t="inlineStr">
        <is>
          <t>https://search.danawa.com/dsearch.php?query=%EB%B3%B4%EC%95%84%EB%A5%B4%20%EC%A0%9C%EC%8A%B5%EA%B8%B0</t>
        </is>
      </c>
      <c r="L71" s="14" t="inlineStr">
        <is>
          <t>⚠쿠팡이최저=마진X / 2위:현대Hmall=169,000원</t>
        </is>
      </c>
      <c r="M71" s="15" t="n">
        <v>0</v>
      </c>
      <c r="N71" s="16" t="inlineStr">
        <is>
          <t>보아르</t>
        </is>
      </c>
      <c r="O71" s="16" t="inlineStr">
        <is>
          <t>VO-DE001</t>
        </is>
      </c>
      <c r="P71" s="17" t="inlineStr">
        <is>
          <t>보아르 모아 파워 7L</t>
        </is>
      </c>
      <c r="Q71" s="16" t="inlineStr">
        <is>
          <t>7</t>
        </is>
      </c>
      <c r="R71" s="17" t="inlineStr">
        <is>
          <t>습도자동조절, 연속배수, 성에제거, 공기청정, 이동바퀴, 이동손잡이, 버튼잠금, 수위표시, 타이머</t>
        </is>
      </c>
      <c r="S71" s="18" t="n">
        <v>12</v>
      </c>
      <c r="T71" s="15" t="n"/>
      <c r="U71" s="15" t="n"/>
      <c r="V71" s="15" t="n"/>
      <c r="W71" s="15" t="n"/>
      <c r="X71" s="12" t="n"/>
      <c r="Y71" s="19" t="n"/>
      <c r="Z71" s="17" t="inlineStr"/>
      <c r="AA71" s="17" t="inlineStr"/>
    </row>
    <row r="72" ht="30" customHeight="1">
      <c r="A72" s="9" t="n"/>
      <c r="B72" s="9">
        <f>IF(OR(H72="",I72=""),"위너가입력필요",IF(OR(T72="",U72="",V72=""),"쿠팡검증필요",IF(OR(U72="로켓그로스",T72&lt;2,V72&lt;30,D72&lt;5),"제외",IF(AND(T72&gt;=2,U72="일반",V72&gt;=100,D72&gt;=12),"S",IF(AND(T72&gt;=2,U72="일반",V72&gt;=50,D72&gt;=8),"A",IF(AND(V72&gt;=30,T72&gt;=2,D72&gt;=5),"B","C"))))))</f>
        <v/>
      </c>
      <c r="C72" s="10">
        <f>IF(H72="","",ROUND(H72-I72-H72*0.17-M72,0))</f>
        <v/>
      </c>
      <c r="D72" s="11">
        <f>IF(OR(H72="",H72=0),"",ROUND(C72/H72*100,1))</f>
        <v/>
      </c>
      <c r="E72" s="10" t="n">
        <v>250602</v>
      </c>
      <c r="F72" s="10" t="n">
        <v>277333</v>
      </c>
      <c r="G72" s="10" t="n">
        <v>292958</v>
      </c>
      <c r="H72" s="12" t="n"/>
      <c r="I72" s="13" t="n">
        <v>208000</v>
      </c>
      <c r="J72" s="14" t="inlineStr">
        <is>
          <t>(미확인)</t>
        </is>
      </c>
      <c r="K72" s="14" t="inlineStr">
        <is>
          <t>https://search.danawa.com/dsearch.php?query=%EB%B3%B4%EC%95%84%EB%A5%B4%20%EC%A0%9C%EC%8A%B5%EA%B8%B0</t>
        </is>
      </c>
      <c r="L72" s="14" t="inlineStr"/>
      <c r="M72" s="15" t="n">
        <v>0</v>
      </c>
      <c r="N72" s="16" t="inlineStr">
        <is>
          <t>보아르</t>
        </is>
      </c>
      <c r="O72" s="16" t="inlineStr"/>
      <c r="P72" s="17" t="inlineStr">
        <is>
          <t>보아르 모아 스마트 제습기 12L</t>
        </is>
      </c>
      <c r="Q72" s="16" t="inlineStr">
        <is>
          <t>12</t>
        </is>
      </c>
      <c r="R72" s="17" t="inlineStr">
        <is>
          <t>습도자동조절, 연속배수, 성에제거, 이동바퀴, 버튼잠금, 수위표시, 습도표시, 타이머</t>
        </is>
      </c>
      <c r="S72" s="18" t="n">
        <v>24</v>
      </c>
      <c r="T72" s="15" t="n"/>
      <c r="U72" s="15" t="n"/>
      <c r="V72" s="15" t="n"/>
      <c r="W72" s="15" t="n"/>
      <c r="X72" s="12" t="n"/>
      <c r="Y72" s="19" t="n"/>
      <c r="Z72" s="17" t="inlineStr"/>
      <c r="AA72" s="17" t="inlineStr">
        <is>
          <t>모델번호 미표기</t>
        </is>
      </c>
    </row>
    <row r="73" ht="30" customHeight="1">
      <c r="A73" s="9" t="n"/>
      <c r="B73" s="9">
        <f>IF(OR(H73="",I73=""),"위너가입력필요",IF(OR(T73="",U73="",V73=""),"쿠팡검증필요",IF(OR(U73="로켓그로스",T73&lt;2,V73&lt;30,D73&lt;5),"제외",IF(AND(T73&gt;=2,U73="일반",V73&gt;=100,D73&gt;=12),"S",IF(AND(T73&gt;=2,U73="일반",V73&gt;=50,D73&gt;=8),"A",IF(AND(V73&gt;=30,T73&gt;=2,D73&gt;=5),"B","C"))))))</f>
        <v/>
      </c>
      <c r="C73" s="10">
        <f>IF(H73="","",ROUND(H73-I73-H73*0.17-M73,0))</f>
        <v/>
      </c>
      <c r="D73" s="11">
        <f>IF(OR(H73="",H73=0),"",ROUND(C73/H73*100,1))</f>
        <v/>
      </c>
      <c r="E73" s="10" t="n">
        <v>274699</v>
      </c>
      <c r="F73" s="10" t="n">
        <v>304000</v>
      </c>
      <c r="G73" s="10" t="n">
        <v>321127</v>
      </c>
      <c r="H73" s="12" t="n"/>
      <c r="I73" s="13" t="n">
        <v>228000</v>
      </c>
      <c r="J73" s="14" t="inlineStr">
        <is>
          <t>쿠팡</t>
        </is>
      </c>
      <c r="K73" s="14" t="inlineStr">
        <is>
          <t>https://search.danawa.com/dsearch.php?query=%EB%B3%B4%EC%95%84%EB%A5%B4%20%EC%A0%9C%EC%8A%B5%EA%B8%B0</t>
        </is>
      </c>
      <c r="L73" s="14" t="inlineStr">
        <is>
          <t>⚠쿠팡이최저=마진X / 2위:SK스토아=245,000원</t>
        </is>
      </c>
      <c r="M73" s="15" t="n">
        <v>0</v>
      </c>
      <c r="N73" s="16" t="inlineStr">
        <is>
          <t>보아르</t>
        </is>
      </c>
      <c r="O73" s="16" t="inlineStr">
        <is>
          <t>VO-DH005</t>
        </is>
      </c>
      <c r="P73" s="17" t="inlineStr">
        <is>
          <t>보아르 모아 스마트 제습기 14L</t>
        </is>
      </c>
      <c r="Q73" s="16" t="inlineStr">
        <is>
          <t>14</t>
        </is>
      </c>
      <c r="R73" s="17" t="inlineStr">
        <is>
          <t>습도자동조절, 연속배수, 성에제거, 이동바퀴, 버튼잠금, 수위표시, 만수알림</t>
        </is>
      </c>
      <c r="S73" s="18" t="n">
        <v>24</v>
      </c>
      <c r="T73" s="15" t="n"/>
      <c r="U73" s="15" t="n"/>
      <c r="V73" s="15" t="n"/>
      <c r="W73" s="15" t="n"/>
      <c r="X73" s="12" t="n"/>
      <c r="Y73" s="19" t="n"/>
      <c r="Z73" s="17" t="inlineStr"/>
      <c r="AA73" s="17" t="inlineStr"/>
    </row>
    <row r="74" ht="30" customHeight="1">
      <c r="A74" s="9" t="n"/>
      <c r="B74" s="9">
        <f>IF(OR(H74="",I74=""),"위너가입력필요",IF(OR(T74="",U74="",V74=""),"쿠팡검증필요",IF(OR(U74="로켓그로스",T74&lt;2,V74&lt;30,D74&lt;5),"제외",IF(AND(T74&gt;=2,U74="일반",V74&gt;=100,D74&gt;=12),"S",IF(AND(T74&gt;=2,U74="일반",V74&gt;=50,D74&gt;=8),"A",IF(AND(V74&gt;=30,T74&gt;=2,D74&gt;=5),"B","C"))))))</f>
        <v/>
      </c>
      <c r="C74" s="10">
        <f>IF(H74="","",ROUND(H74-I74-H74*0.17-M74,0))</f>
        <v/>
      </c>
      <c r="D74" s="11">
        <f>IF(OR(H74="",H74=0),"",ROUND(C74/H74*100,1))</f>
        <v/>
      </c>
      <c r="E74" s="10" t="n">
        <v>310843</v>
      </c>
      <c r="F74" s="10" t="n">
        <v>344000</v>
      </c>
      <c r="G74" s="10" t="n">
        <v>363380</v>
      </c>
      <c r="H74" s="12" t="n"/>
      <c r="I74" s="13" t="n">
        <v>258000</v>
      </c>
      <c r="J74" s="14" t="inlineStr">
        <is>
          <t>쿠팡</t>
        </is>
      </c>
      <c r="K74" s="14" t="inlineStr">
        <is>
          <t>https://search.danawa.com/dsearch.php?query=%EB%B3%B4%EC%95%84%EB%A5%B4%20%EC%A0%9C%EC%8A%B5%EA%B8%B0</t>
        </is>
      </c>
      <c r="L74" s="14" t="inlineStr">
        <is>
          <t>⚠쿠팡이최저=마진X / 2위:옥션=279,000원(카드전용가)</t>
        </is>
      </c>
      <c r="M74" s="15" t="n">
        <v>0</v>
      </c>
      <c r="N74" s="16" t="inlineStr">
        <is>
          <t>보아르</t>
        </is>
      </c>
      <c r="O74" s="16" t="inlineStr">
        <is>
          <t>VO-DE002</t>
        </is>
      </c>
      <c r="P74" s="17" t="inlineStr">
        <is>
          <t>보아르 모아 파워 18L</t>
        </is>
      </c>
      <c r="Q74" s="16" t="inlineStr">
        <is>
          <t>18</t>
        </is>
      </c>
      <c r="R74" s="17" t="inlineStr">
        <is>
          <t>습도자동조절, 연속배수, 성에제거, 공기청정, 이동바퀴, 이동손잡이, 버튼잠금, 수위표시, 타이머</t>
        </is>
      </c>
      <c r="S74" s="18" t="n">
        <v>22</v>
      </c>
      <c r="T74" s="15" t="n"/>
      <c r="U74" s="15" t="n"/>
      <c r="V74" s="15" t="n"/>
      <c r="W74" s="15" t="n"/>
      <c r="X74" s="12" t="n"/>
      <c r="Y74" s="19" t="n"/>
      <c r="Z74" s="17" t="inlineStr"/>
      <c r="AA74" s="17" t="inlineStr"/>
    </row>
    <row r="75" ht="30" customHeight="1">
      <c r="A75" s="9" t="n"/>
      <c r="B75" s="9">
        <f>IF(OR(H75="",I75=""),"위너가입력필요",IF(OR(T75="",U75="",V75=""),"쿠팡검증필요",IF(OR(U75="로켓그로스",T75&lt;2,V75&lt;30,D75&lt;5),"제외",IF(AND(T75&gt;=2,U75="일반",V75&gt;=100,D75&gt;=12),"S",IF(AND(T75&gt;=2,U75="일반",V75&gt;=50,D75&gt;=8),"A",IF(AND(V75&gt;=30,T75&gt;=2,D75&gt;=5),"B","C"))))))</f>
        <v/>
      </c>
      <c r="C75" s="10">
        <f>IF(H75="","",ROUND(H75-I75-H75*0.17-M75,0))</f>
        <v/>
      </c>
      <c r="D75" s="11">
        <f>IF(OR(H75="",H75=0),"",ROUND(C75/H75*100,1))</f>
        <v/>
      </c>
      <c r="E75" s="10" t="n">
        <v>179518</v>
      </c>
      <c r="F75" s="10" t="n">
        <v>198667</v>
      </c>
      <c r="G75" s="10" t="n">
        <v>209859</v>
      </c>
      <c r="H75" s="12" t="n"/>
      <c r="I75" s="13" t="n">
        <v>149000</v>
      </c>
      <c r="J75" s="14" t="inlineStr">
        <is>
          <t>오늘의집</t>
        </is>
      </c>
      <c r="K75" s="14" t="inlineStr">
        <is>
          <t>https://search.danawa.com/dsearch.php?query=%EC%A0%9C%EB%8B%88%ED%8D%BC%EB%A3%B8%20%EC%A0%9C%EC%8A%B5%EA%B8%B0</t>
        </is>
      </c>
      <c r="L75" s="14" t="inlineStr">
        <is>
          <t>2위:옥션=163,960원</t>
        </is>
      </c>
      <c r="M75" s="15" t="n">
        <v>0</v>
      </c>
      <c r="N75" s="16" t="inlineStr">
        <is>
          <t>제니퍼룸</t>
        </is>
      </c>
      <c r="O75" s="16" t="inlineStr">
        <is>
          <t>JR-DH2001</t>
        </is>
      </c>
      <c r="P75" s="17" t="inlineStr">
        <is>
          <t>제니퍼룸 마카롱 JR-DH2001</t>
        </is>
      </c>
      <c r="Q75" s="16" t="inlineStr">
        <is>
          <t>7</t>
        </is>
      </c>
      <c r="R75" s="17" t="inlineStr">
        <is>
          <t>습도자동조절, 만수알림, 연속배수, 이동바퀴</t>
        </is>
      </c>
      <c r="S75" s="18" t="n">
        <v>288</v>
      </c>
      <c r="T75" s="15" t="n"/>
      <c r="U75" s="15" t="n"/>
      <c r="V75" s="15" t="n"/>
      <c r="W75" s="15" t="n"/>
      <c r="X75" s="12" t="n"/>
      <c r="Y75" s="19" t="n"/>
      <c r="Z75" s="17" t="inlineStr">
        <is>
          <t>신호/리드(미검증): 쿠팡 직접 접근 불가로 2차 자료 기반 추정. (1) 쿠팡 상품 페이지 및 제습기 검색 노출이 확인되어 쿠팡 내 판매 리스팅은 존재하는 것으로 보임(리드). (2) 다만 쿠팡 자체 후기 수/평점을 특정할 근거는 없음 — 확정 리뷰 수 미상. (3) 인기 신호는 주로 자사몰·마켓컬리·올리브영·SSG 등 멀티채널 유통에서 나옴. SSG 기준 평점 4.8~5.0/6건+ 수준의 소량 리뷰만 교차 확인되어, '대형 베스트셀러'라기보다 디자인 중심 1인가구 니치 인기로 판단됨. (4) 장마철 행사·가성비 프로모션 시 구매 급증 언급 있음(자사몰 후기 리드). 종합: 쿠팡 인기도는 '중간 이하~니치'로 추정, 확정 아님.</t>
        </is>
      </c>
      <c r="AA75" s="17" t="inlineStr">
        <is>
          <t>성능/사용 불만 신호: (1) 소음 — 사용 1개월 미만에 기계음/모터음 큼, 취침(저소음)모드에서도 소음 상당하다는 부정 리뷰 존재(가장 반복되는 불만). (2) 제습 성능 — 12L 표기지만 실제 일일제습량 7L(30㎡/9평급)로, '12L 대용량'으로 오인 시 기대치 과잉 → 넓은 공간 사용 시 성능 불만·과장광고 클레임 소지(마카롱=디자인/시리즈명이지 용량 아님, '12L'는 제품 라인 표기라 혼동 유발). 반품 리스크 요인. (3) 반품 정책 — 채널별 상이(수령 후 7~15일), 쿠팡 개별 조건 별도 확인 필요. 종합: '조용함·강력' 마케팅 대비 소음·실제 제습량 괴리가 주요 반품/불만 트리거. 모두 2차자료 기반 신호이며 확정 아님.</t>
        </is>
      </c>
    </row>
    <row r="76" ht="30" customHeight="1">
      <c r="A76" s="9" t="n"/>
      <c r="B76" s="9">
        <f>IF(OR(H76="",I76=""),"위너가입력필요",IF(OR(T76="",U76="",V76=""),"쿠팡검증필요",IF(OR(U76="로켓그로스",T76&lt;2,V76&lt;30,D76&lt;5),"제외",IF(AND(T76&gt;=2,U76="일반",V76&gt;=100,D76&gt;=12),"S",IF(AND(T76&gt;=2,U76="일반",V76&gt;=50,D76&gt;=8),"A",IF(AND(V76&gt;=30,T76&gt;=2,D76&gt;=5),"B","C"))))))</f>
        <v/>
      </c>
      <c r="C76" s="10">
        <f>IF(H76="","",ROUND(H76-I76-H76*0.17-M76,0))</f>
        <v/>
      </c>
      <c r="D76" s="11">
        <f>IF(OR(H76="",H76=0),"",ROUND(C76/H76*100,1))</f>
        <v/>
      </c>
      <c r="E76" s="10" t="n">
        <v>187145</v>
      </c>
      <c r="F76" s="10" t="n">
        <v>207107</v>
      </c>
      <c r="G76" s="10" t="n">
        <v>218775</v>
      </c>
      <c r="H76" s="12" t="n"/>
      <c r="I76" s="13" t="n">
        <v>155330</v>
      </c>
      <c r="J76" s="14" t="inlineStr">
        <is>
          <t>쿠팡</t>
        </is>
      </c>
      <c r="K76" s="14" t="inlineStr">
        <is>
          <t>https://search.danawa.com/dsearch.php?query=%EC%A0%9C%EB%8B%88%ED%8D%BC%EB%A3%B8%20%EC%A0%9C%EC%8A%B5%EA%B8%B0</t>
        </is>
      </c>
      <c r="L76" s="14" t="inlineStr">
        <is>
          <t>⚠쿠팡이최저=마진X / 2위:확인 불가 (데이터 없음)</t>
        </is>
      </c>
      <c r="M76" s="15" t="n">
        <v>0</v>
      </c>
      <c r="N76" s="16" t="inlineStr">
        <is>
          <t>제니퍼룸</t>
        </is>
      </c>
      <c r="O76" s="16" t="inlineStr">
        <is>
          <t>JRG-DH0801</t>
        </is>
      </c>
      <c r="P76" s="17" t="inlineStr">
        <is>
          <t>제니퍼룸 마카롱 플러스</t>
        </is>
      </c>
      <c r="Q76" s="16" t="inlineStr">
        <is>
          <t>8</t>
        </is>
      </c>
      <c r="R76" s="17" t="inlineStr">
        <is>
          <t>저소음(36dB), 연속배수, 습도자동조절, 타이머</t>
        </is>
      </c>
      <c r="S76" s="18" t="n">
        <v>3</v>
      </c>
      <c r="T76" s="15" t="n"/>
      <c r="U76" s="15" t="n"/>
      <c r="V76" s="15" t="n"/>
      <c r="W76" s="15" t="n"/>
      <c r="X76" s="12" t="n"/>
      <c r="Y76" s="19" t="n"/>
      <c r="Z76" s="17" t="inlineStr"/>
      <c r="AA76" s="17" t="inlineStr">
        <is>
          <t>신제품, 판매처 소수</t>
        </is>
      </c>
    </row>
    <row r="77" ht="30" customHeight="1">
      <c r="A77" s="9" t="n"/>
      <c r="B77" s="9">
        <f>IF(OR(H77="",I77=""),"위너가입력필요",IF(OR(T77="",U77="",V77=""),"쿠팡검증필요",IF(OR(U77="로켓그로스",T77&lt;2,V77&lt;30,D77&lt;5),"제외",IF(AND(T77&gt;=2,U77="일반",V77&gt;=100,D77&gt;=12),"S",IF(AND(T77&gt;=2,U77="일반",V77&gt;=50,D77&gt;=8),"A",IF(AND(V77&gt;=30,T77&gt;=2,D77&gt;=5),"B","C"))))))</f>
        <v/>
      </c>
      <c r="C77" s="10">
        <f>IF(H77="","",ROUND(H77-I77-H77*0.17-M77,0))</f>
        <v/>
      </c>
      <c r="D77" s="11">
        <f>IF(OR(H77="",H77=0),"",ROUND(C77/H77*100,1))</f>
        <v/>
      </c>
      <c r="E77" s="10" t="n">
        <v>296831</v>
      </c>
      <c r="F77" s="10" t="n">
        <v>328493</v>
      </c>
      <c r="G77" s="10" t="n">
        <v>347000</v>
      </c>
      <c r="H77" s="12" t="n"/>
      <c r="I77" s="13" t="n">
        <v>246370</v>
      </c>
      <c r="J77" s="14" t="inlineStr">
        <is>
          <t>옥션</t>
        </is>
      </c>
      <c r="K77" s="14" t="inlineStr">
        <is>
          <t>https://search.danawa.com/dsearch.php?query=%EC%A0%9C%EB%8B%88%ED%8D%BC%EB%A3%B8%20%EC%A0%9C%EC%8A%B5%EA%B8%B0</t>
        </is>
      </c>
      <c r="L77" s="14" t="inlineStr">
        <is>
          <t>2위:G마켓=250,980원</t>
        </is>
      </c>
      <c r="M77" s="15" t="n">
        <v>0</v>
      </c>
      <c r="N77" s="16" t="inlineStr">
        <is>
          <t>제니퍼룸</t>
        </is>
      </c>
      <c r="O77" s="16" t="inlineStr">
        <is>
          <t>JR-DH0001WH</t>
        </is>
      </c>
      <c r="P77" s="17" t="inlineStr">
        <is>
          <t>제니퍼룸 JR-DH0001WH</t>
        </is>
      </c>
      <c r="Q77" s="16" t="inlineStr">
        <is>
          <t>7</t>
        </is>
      </c>
      <c r="R77" s="17" t="inlineStr">
        <is>
          <t>만수알림, 성에제거, 스마트폰제어, 타이머</t>
        </is>
      </c>
      <c r="S77" s="18" t="n">
        <v>13</v>
      </c>
      <c r="T77" s="15" t="n"/>
      <c r="U77" s="15" t="n"/>
      <c r="V77" s="15" t="n"/>
      <c r="W77" s="15" t="n"/>
      <c r="X77" s="12" t="n"/>
      <c r="Y77" s="19" t="n"/>
      <c r="Z77" s="17" t="inlineStr"/>
      <c r="AA77" s="17" t="inlineStr">
        <is>
          <t>구형(2020)</t>
        </is>
      </c>
    </row>
    <row r="78" ht="30" customHeight="1">
      <c r="A78" s="9" t="n"/>
      <c r="B78" s="9">
        <f>IF(OR(H78="",I78=""),"위너가입력필요",IF(OR(T78="",U78="",V78=""),"쿠팡검증필요",IF(OR(U78="로켓그로스",T78&lt;2,V78&lt;30,D78&lt;5),"제외",IF(AND(T78&gt;=2,U78="일반",V78&gt;=100,D78&gt;=12),"S",IF(AND(T78&gt;=2,U78="일반",V78&gt;=50,D78&gt;=8),"A",IF(AND(V78&gt;=30,T78&gt;=2,D78&gt;=5),"B","C"))))))</f>
        <v/>
      </c>
      <c r="C78" s="10">
        <f>IF(H78="","",ROUND(H78-I78-H78*0.17-M78,0))</f>
        <v/>
      </c>
      <c r="D78" s="11">
        <f>IF(OR(H78="",H78=0),"",ROUND(C78/H78*100,1))</f>
        <v/>
      </c>
      <c r="E78" s="10" t="n">
        <v>336072</v>
      </c>
      <c r="F78" s="10" t="n">
        <v>371920</v>
      </c>
      <c r="G78" s="10" t="n">
        <v>392873</v>
      </c>
      <c r="H78" s="12" t="n"/>
      <c r="I78" s="13" t="n">
        <v>278940</v>
      </c>
      <c r="J78" s="14" t="inlineStr">
        <is>
          <t>옥션</t>
        </is>
      </c>
      <c r="K78" s="14" t="inlineStr">
        <is>
          <t>https://search.danawa.com/dsearch.php?query=%EC%A0%9C%EB%8B%88%ED%8D%BC%EB%A3%B8%20%EC%A0%9C%EC%8A%B5%EA%B8%B0</t>
        </is>
      </c>
      <c r="L78" s="14" t="inlineStr">
        <is>
          <t>⚠쿠팡이최저=마진X / 2위:쿠팡=278,940원</t>
        </is>
      </c>
      <c r="M78" s="15" t="n">
        <v>0</v>
      </c>
      <c r="N78" s="16" t="inlineStr">
        <is>
          <t>제니퍼룸</t>
        </is>
      </c>
      <c r="O78" s="16" t="inlineStr">
        <is>
          <t>JRG-DH1801WH</t>
        </is>
      </c>
      <c r="P78" s="17" t="inlineStr">
        <is>
          <t>제니퍼룸 스마트 퓨어</t>
        </is>
      </c>
      <c r="Q78" s="16" t="inlineStr">
        <is>
          <t>18</t>
        </is>
      </c>
      <c r="R78" s="17" t="inlineStr">
        <is>
          <t>1등급 에너지, 내부건조, 상하자동회전</t>
        </is>
      </c>
      <c r="S78" s="18" t="n">
        <v>16</v>
      </c>
      <c r="T78" s="15" t="n"/>
      <c r="U78" s="15" t="n"/>
      <c r="V78" s="15" t="n"/>
      <c r="W78" s="15" t="n"/>
      <c r="X78" s="12" t="n"/>
      <c r="Y78" s="19" t="n"/>
      <c r="Z78" s="17" t="inlineStr"/>
      <c r="AA78" s="17" t="inlineStr">
        <is>
          <t>대용량, 인버터급 1등급</t>
        </is>
      </c>
    </row>
    <row r="79" ht="30" customHeight="1">
      <c r="A79" s="9" t="n"/>
      <c r="B79" s="9">
        <f>IF(OR(H79="",I79=""),"위너가입력필요",IF(OR(T79="",U79="",V79=""),"쿠팡검증필요",IF(OR(U79="로켓그로스",T79&lt;2,V79&lt;30,D79&lt;5),"제외",IF(AND(T79&gt;=2,U79="일반",V79&gt;=100,D79&gt;=12),"S",IF(AND(T79&gt;=2,U79="일반",V79&gt;=50,D79&gt;=8),"A",IF(AND(V79&gt;=30,T79&gt;=2,D79&gt;=5),"B","C"))))))</f>
        <v/>
      </c>
      <c r="C79" s="10">
        <f>IF(H79="","",ROUND(H79-I79-H79*0.17-M79,0))</f>
        <v/>
      </c>
      <c r="D79" s="11">
        <f>IF(OR(H79="",H79=0),"",ROUND(C79/H79*100,1))</f>
        <v/>
      </c>
      <c r="E79" s="10" t="n">
        <v>39747</v>
      </c>
      <c r="F79" s="10" t="n">
        <v>43987</v>
      </c>
      <c r="G79" s="10" t="n">
        <v>46465</v>
      </c>
      <c r="H79" s="12" t="n"/>
      <c r="I79" s="13" t="n">
        <v>32990</v>
      </c>
      <c r="J79" s="14" t="inlineStr">
        <is>
          <t>쿠팡</t>
        </is>
      </c>
      <c r="K79" s="14" t="inlineStr">
        <is>
          <t>https://search.danawa.com/dsearch.php?query=%ED%99%88%ED%94%8C%EB%9E%98%EB%8B%9B%20%EC%A0%9C%EC%8A%B5%EA%B8%B0</t>
        </is>
      </c>
      <c r="L79" s="14" t="inlineStr">
        <is>
          <t>⚠쿠팡이최저=마진X / 2위:옥션=41,250원</t>
        </is>
      </c>
      <c r="M79" s="15" t="n">
        <v>0</v>
      </c>
      <c r="N79" s="16" t="inlineStr">
        <is>
          <t>홈플래닛</t>
        </is>
      </c>
      <c r="O79" s="16" t="inlineStr">
        <is>
          <t>T8</t>
        </is>
      </c>
      <c r="P79" s="17" t="inlineStr">
        <is>
          <t>홈플래닛 T8 미니 제습기</t>
        </is>
      </c>
      <c r="Q79" s="16" t="inlineStr">
        <is>
          <t>0.3</t>
        </is>
      </c>
      <c r="R79" s="17" t="inlineStr">
        <is>
          <t>만수알림, 수위표시</t>
        </is>
      </c>
      <c r="S79" s="18" t="n">
        <v>3</v>
      </c>
      <c r="T79" s="15" t="n"/>
      <c r="U79" s="15" t="n"/>
      <c r="V79" s="15" t="n"/>
      <c r="W79" s="15" t="n"/>
      <c r="X79" s="12" t="n"/>
      <c r="Y79" s="19" t="n"/>
      <c r="Z79" s="17" t="inlineStr"/>
      <c r="AA79" s="17" t="inlineStr">
        <is>
          <t>소형 미니 제습기(일일제습량 0.3L)</t>
        </is>
      </c>
    </row>
    <row r="80" ht="30" customHeight="1">
      <c r="A80" s="9" t="n"/>
      <c r="B80" s="9">
        <f>IF(OR(H80="",I80=""),"위너가입력필요",IF(OR(T80="",U80="",V80=""),"쿠팡검증필요",IF(OR(U80="로켓그로스",T80&lt;2,V80&lt;30,D80&lt;5),"제외",IF(AND(T80&gt;=2,U80="일반",V80&gt;=100,D80&gt;=12),"S",IF(AND(T80&gt;=2,U80="일반",V80&gt;=50,D80&gt;=8),"A",IF(AND(V80&gt;=30,T80&gt;=2,D80&gt;=5),"B","C"))))))</f>
        <v/>
      </c>
      <c r="C80" s="10">
        <f>IF(H80="","",ROUND(H80-I80-H80*0.17-M80,0))</f>
        <v/>
      </c>
      <c r="D80" s="11">
        <f>IF(OR(H80="",H80=0),"",ROUND(C80/H80*100,1))</f>
        <v/>
      </c>
      <c r="E80" s="10" t="n">
        <v>143133</v>
      </c>
      <c r="F80" s="10" t="n">
        <v>158400</v>
      </c>
      <c r="G80" s="10" t="n">
        <v>167324</v>
      </c>
      <c r="H80" s="12" t="n"/>
      <c r="I80" s="13" t="n">
        <v>118800</v>
      </c>
      <c r="J80" s="14" t="inlineStr">
        <is>
          <t>쿠팡</t>
        </is>
      </c>
      <c r="K80" s="14" t="inlineStr">
        <is>
          <t>https://search.danawa.com/dsearch.php?query=%ED%99%88%ED%94%8C%EB%9E%98%EB%8B%9B%20%EC%A0%9C%EC%8A%B5%EA%B8%B0</t>
        </is>
      </c>
      <c r="L80" s="14" t="inlineStr">
        <is>
          <t>⚠쿠팡이최저=마진X / 2위:옥션/G마켓=175,750원</t>
        </is>
      </c>
      <c r="M80" s="15" t="n">
        <v>0</v>
      </c>
      <c r="N80" s="16" t="inlineStr">
        <is>
          <t>홈플래닛</t>
        </is>
      </c>
      <c r="O80" s="16" t="inlineStr">
        <is>
          <t>NEK-DH0612L</t>
        </is>
      </c>
      <c r="P80" s="17" t="inlineStr">
        <is>
          <t>홈플래닛 에어큐브 NEK-DH0612L</t>
        </is>
      </c>
      <c r="Q80" s="16" t="inlineStr">
        <is>
          <t>7.2</t>
        </is>
      </c>
      <c r="R80" s="17" t="inlineStr">
        <is>
          <t>습도자동조절, 연속배수, 저소음(35dB)</t>
        </is>
      </c>
      <c r="S80" s="18" t="n">
        <v>11</v>
      </c>
      <c r="T80" s="15" t="n"/>
      <c r="U80" s="15" t="n"/>
      <c r="V80" s="15" t="n"/>
      <c r="W80" s="15" t="n"/>
      <c r="X80" s="12" t="n"/>
      <c r="Y80" s="19" t="n"/>
      <c r="Z80" s="17" t="inlineStr"/>
      <c r="AA80" s="17" t="inlineStr">
        <is>
          <t>판매처 11곳으로 최다</t>
        </is>
      </c>
    </row>
    <row r="81" ht="30" customHeight="1">
      <c r="A81" s="9" t="n"/>
      <c r="B81" s="9">
        <f>IF(OR(H81="",I81=""),"위너가입력필요",IF(OR(T81="",U81="",V81=""),"쿠팡검증필요",IF(OR(U81="로켓그로스",T81&lt;2,V81&lt;30,D81&lt;5),"제외",IF(AND(T81&gt;=2,U81="일반",V81&gt;=100,D81&gt;=12),"S",IF(AND(T81&gt;=2,U81="일반",V81&gt;=50,D81&gt;=8),"A",IF(AND(V81&gt;=30,T81&gt;=2,D81&gt;=5),"B","C"))))))</f>
        <v/>
      </c>
      <c r="C81" s="10">
        <f>IF(H81="","",ROUND(H81-I81-H81*0.17-M81,0))</f>
        <v/>
      </c>
      <c r="D81" s="11">
        <f>IF(OR(H81="",H81=0),"",ROUND(C81/H81*100,1))</f>
        <v/>
      </c>
      <c r="E81" s="10" t="n">
        <v>204807</v>
      </c>
      <c r="F81" s="10" t="n">
        <v>226653</v>
      </c>
      <c r="G81" s="10" t="n">
        <v>239423</v>
      </c>
      <c r="H81" s="12" t="n"/>
      <c r="I81" s="13" t="n">
        <v>169990</v>
      </c>
      <c r="J81" s="14" t="inlineStr">
        <is>
          <t>쿠팡</t>
        </is>
      </c>
      <c r="K81" s="14" t="inlineStr">
        <is>
          <t>https://search.danawa.com/dsearch.php?query=%ED%99%88%ED%94%8C%EB%9E%98%EB%8B%9B%20%EC%A0%9C%EC%8A%B5%EA%B8%B0</t>
        </is>
      </c>
      <c r="L81" s="14" t="inlineStr">
        <is>
          <t>⚠쿠팡이최저=마진X / 2위:11번가=253,690원</t>
        </is>
      </c>
      <c r="M81" s="15" t="n">
        <v>0</v>
      </c>
      <c r="N81" s="16" t="inlineStr">
        <is>
          <t>홈플래닛</t>
        </is>
      </c>
      <c r="O81" s="16" t="inlineStr">
        <is>
          <t>PD08A</t>
        </is>
      </c>
      <c r="P81" s="17" t="inlineStr">
        <is>
          <t>홈플래닛 PD08A</t>
        </is>
      </c>
      <c r="Q81" s="16" t="inlineStr">
        <is>
          <t>10</t>
        </is>
      </c>
      <c r="R81" s="17" t="inlineStr">
        <is>
          <t>습도자동조절, 연속배수, 타이머</t>
        </is>
      </c>
      <c r="S81" s="18" t="n">
        <v>4</v>
      </c>
      <c r="T81" s="15" t="n"/>
      <c r="U81" s="15" t="n"/>
      <c r="V81" s="15" t="n"/>
      <c r="W81" s="15" t="n"/>
      <c r="X81" s="12" t="n"/>
      <c r="Y81" s="19" t="n"/>
      <c r="Z81" s="17" t="inlineStr"/>
      <c r="AA81" s="17" t="inlineStr"/>
    </row>
    <row r="82" ht="30" customHeight="1">
      <c r="A82" s="9" t="n"/>
      <c r="B82" s="9">
        <f>IF(OR(H82="",I82=""),"위너가입력필요",IF(OR(T82="",U82="",V82=""),"쿠팡검증필요",IF(OR(U82="로켓그로스",T82&lt;2,V82&lt;30,D82&lt;5),"제외",IF(AND(T82&gt;=2,U82="일반",V82&gt;=100,D82&gt;=12),"S",IF(AND(T82&gt;=2,U82="일반",V82&gt;=50,D82&gt;=8),"A",IF(AND(V82&gt;=30,T82&gt;=2,D82&gt;=5),"B","C"))))))</f>
        <v/>
      </c>
      <c r="C82" s="10">
        <f>IF(H82="","",ROUND(H82-I82-H82*0.17-M82,0))</f>
        <v/>
      </c>
      <c r="D82" s="11">
        <f>IF(OR(H82="",H82=0),"",ROUND(C82/H82*100,1))</f>
        <v/>
      </c>
      <c r="E82" s="10" t="n">
        <v>321157</v>
      </c>
      <c r="F82" s="10" t="n">
        <v>355413</v>
      </c>
      <c r="G82" s="10" t="n">
        <v>375437</v>
      </c>
      <c r="H82" s="12" t="n"/>
      <c r="I82" s="13" t="n">
        <v>266560</v>
      </c>
      <c r="J82" s="14" t="inlineStr">
        <is>
          <t>11번가</t>
        </is>
      </c>
      <c r="K82" s="14" t="inlineStr">
        <is>
          <t>https://search.danawa.com/dsearch.php?query=%ED%99%88%ED%94%8C%EB%9E%98%EB%8B%9B%20%EC%A0%9C%EC%8A%B5%EA%B8%B0</t>
        </is>
      </c>
      <c r="L82" s="14" t="inlineStr">
        <is>
          <t>2위:G마켓=266,570원</t>
        </is>
      </c>
      <c r="M82" s="15" t="n">
        <v>0</v>
      </c>
      <c r="N82" s="16" t="inlineStr">
        <is>
          <t>홈플래닛</t>
        </is>
      </c>
      <c r="O82" s="16" t="inlineStr">
        <is>
          <t>PD10A</t>
        </is>
      </c>
      <c r="P82" s="17" t="inlineStr">
        <is>
          <t>홈플래닛 PD10A</t>
        </is>
      </c>
      <c r="Q82" s="16" t="inlineStr">
        <is>
          <t>16</t>
        </is>
      </c>
      <c r="R82" s="17" t="inlineStr">
        <is>
          <t>습도자동조절, 연속배수, 타이머</t>
        </is>
      </c>
      <c r="S82" s="18" t="n">
        <v>7</v>
      </c>
      <c r="T82" s="15" t="n"/>
      <c r="U82" s="15" t="n"/>
      <c r="V82" s="15" t="n"/>
      <c r="W82" s="15" t="n"/>
      <c r="X82" s="12" t="n"/>
      <c r="Y82" s="19" t="n"/>
      <c r="Z82" s="17" t="inlineStr"/>
      <c r="AA82" s="17" t="inlineStr"/>
    </row>
    <row r="83" ht="30" customHeight="1">
      <c r="A83" s="9" t="n"/>
      <c r="B83" s="9">
        <f>IF(OR(H83="",I83=""),"위너가입력필요",IF(OR(T83="",U83="",V83=""),"쿠팡검증필요",IF(OR(U83="로켓그로스",T83&lt;2,V83&lt;30,D83&lt;5),"제외",IF(AND(T83&gt;=2,U83="일반",V83&gt;=100,D83&gt;=12),"S",IF(AND(T83&gt;=2,U83="일반",V83&gt;=50,D83&gt;=8),"A",IF(AND(V83&gt;=30,T83&gt;=2,D83&gt;=5),"B","C"))))))</f>
        <v/>
      </c>
      <c r="C83" s="10">
        <f>IF(H83="","",ROUND(H83-I83-H83*0.17-M83,0))</f>
        <v/>
      </c>
      <c r="D83" s="11">
        <f>IF(OR(H83="",H83=0),"",ROUND(C83/H83*100,1))</f>
        <v/>
      </c>
      <c r="E83" s="10" t="n">
        <v>185542</v>
      </c>
      <c r="F83" s="10" t="n">
        <v>205333</v>
      </c>
      <c r="G83" s="10" t="n">
        <v>216901</v>
      </c>
      <c r="H83" s="12" t="n"/>
      <c r="I83" s="13" t="n">
        <v>154000</v>
      </c>
      <c r="J83" s="14" t="inlineStr">
        <is>
          <t>쿠팡</t>
        </is>
      </c>
      <c r="K83" s="14" t="inlineStr">
        <is>
          <t>https://search.danawa.com/dsearch.php?query=%ED%8C%8C%EC%84%B8%EC%BD%94%20%EC%A0%9C%EC%8A%B5%EA%B8%B0</t>
        </is>
      </c>
      <c r="L83" s="14" t="inlineStr">
        <is>
          <t>⚠쿠팡이최저=마진X / 2위:네이버페이=159,000원 (하이마트·G마켓·옥션·11번가 등 다수 동일</t>
        </is>
      </c>
      <c r="M83" s="15" t="n">
        <v>0</v>
      </c>
      <c r="N83" s="16" t="inlineStr">
        <is>
          <t>파세코</t>
        </is>
      </c>
      <c r="O83" s="16" t="inlineStr">
        <is>
          <t>PDH-12251W</t>
        </is>
      </c>
      <c r="P83" s="17" t="inlineStr">
        <is>
          <t>파세코 PDH-12251W</t>
        </is>
      </c>
      <c r="Q83" s="16" t="inlineStr">
        <is>
          <t>7</t>
        </is>
      </c>
      <c r="R83" s="17" t="inlineStr">
        <is>
          <t>습도자동조절, 만수알림, 연속배수</t>
        </is>
      </c>
      <c r="S83" s="18" t="n">
        <v>36</v>
      </c>
      <c r="T83" s="15" t="n"/>
      <c r="U83" s="15" t="n"/>
      <c r="V83" s="15" t="n"/>
      <c r="W83" s="15" t="n"/>
      <c r="X83" s="12" t="n"/>
      <c r="Y83" s="19" t="n"/>
      <c r="Z83" s="17" t="inlineStr"/>
      <c r="AA83" s="17" t="inlineStr"/>
    </row>
    <row r="84" ht="30" customHeight="1">
      <c r="A84" s="9" t="n"/>
      <c r="B84" s="9">
        <f>IF(OR(H84="",I84=""),"위너가입력필요",IF(OR(T84="",U84="",V84=""),"쿠팡검증필요",IF(OR(U84="로켓그로스",T84&lt;2,V84&lt;30,D84&lt;5),"제외",IF(AND(T84&gt;=2,U84="일반",V84&gt;=100,D84&gt;=12),"S",IF(AND(T84&gt;=2,U84="일반",V84&gt;=50,D84&gt;=8),"A",IF(AND(V84&gt;=30,T84&gt;=2,D84&gt;=5),"B","C"))))))</f>
        <v/>
      </c>
      <c r="C84" s="10">
        <f>IF(H84="","",ROUND(H84-I84-H84*0.17-M84,0))</f>
        <v/>
      </c>
      <c r="D84" s="11">
        <f>IF(OR(H84="",H84=0),"",ROUND(C84/H84*100,1))</f>
        <v/>
      </c>
      <c r="E84" s="10" t="n">
        <v>191566</v>
      </c>
      <c r="F84" s="10" t="n">
        <v>212000</v>
      </c>
      <c r="G84" s="10" t="n">
        <v>223944</v>
      </c>
      <c r="H84" s="12" t="n"/>
      <c r="I84" s="13" t="n">
        <v>159000</v>
      </c>
      <c r="J84" s="14" t="inlineStr">
        <is>
          <t>11번가</t>
        </is>
      </c>
      <c r="K84" s="14" t="inlineStr">
        <is>
          <t>https://search.danawa.com/dsearch.php?query=%ED%8C%8C%EC%84%B8%EC%BD%94%20%EC%A0%9C%EC%8A%B5%EA%B8%B0</t>
        </is>
      </c>
      <c r="L84" s="14" t="inlineStr">
        <is>
          <t>2위:롯데ON=159,000원</t>
        </is>
      </c>
      <c r="M84" s="15" t="n">
        <v>0</v>
      </c>
      <c r="N84" s="16" t="inlineStr">
        <is>
          <t>파세코</t>
        </is>
      </c>
      <c r="O84" s="16" t="inlineStr">
        <is>
          <t>PDH-12241W</t>
        </is>
      </c>
      <c r="P84" s="17" t="inlineStr">
        <is>
          <t>파세코 PDH-12241W</t>
        </is>
      </c>
      <c r="Q84" s="16" t="inlineStr">
        <is>
          <t>7</t>
        </is>
      </c>
      <c r="R84" s="17" t="inlineStr">
        <is>
          <t>습도자동조절, 만수알림, 연속배수</t>
        </is>
      </c>
      <c r="S84" s="18" t="n">
        <v>58</v>
      </c>
      <c r="T84" s="15" t="n"/>
      <c r="U84" s="15" t="n"/>
      <c r="V84" s="15" t="n"/>
      <c r="W84" s="15" t="n"/>
      <c r="X84" s="12" t="n"/>
      <c r="Y84" s="19" t="n"/>
      <c r="Z84" s="17" t="inlineStr"/>
      <c r="AA84" s="17" t="inlineStr"/>
    </row>
    <row r="85" ht="30" customHeight="1">
      <c r="A85" s="9" t="n"/>
      <c r="B85" s="9">
        <f>IF(OR(H85="",I85=""),"위너가입력필요",IF(OR(T85="",U85="",V85=""),"쿠팡검증필요",IF(OR(U85="로켓그로스",T85&lt;2,V85&lt;30,D85&lt;5),"제외",IF(AND(T85&gt;=2,U85="일반",V85&gt;=100,D85&gt;=12),"S",IF(AND(T85&gt;=2,U85="일반",V85&gt;=50,D85&gt;=8),"A",IF(AND(V85&gt;=30,T85&gt;=2,D85&gt;=5),"B","C"))))))</f>
        <v/>
      </c>
      <c r="C85" s="10">
        <f>IF(H85="","",ROUND(H85-I85-H85*0.17-M85,0))</f>
        <v/>
      </c>
      <c r="D85" s="11">
        <f>IF(OR(H85="",H85=0),"",ROUND(C85/H85*100,1))</f>
        <v/>
      </c>
      <c r="E85" s="10" t="n">
        <v>232566</v>
      </c>
      <c r="F85" s="10" t="n">
        <v>257373</v>
      </c>
      <c r="G85" s="10" t="n">
        <v>271873</v>
      </c>
      <c r="H85" s="12" t="n"/>
      <c r="I85" s="13" t="n">
        <v>193030</v>
      </c>
      <c r="J85" s="14" t="inlineStr">
        <is>
          <t>쿠팡</t>
        </is>
      </c>
      <c r="K85" s="14" t="inlineStr">
        <is>
          <t>https://search.danawa.com/dsearch.php?query=%ED%8C%8C%EC%84%B8%EC%BD%94%20%EC%A0%9C%EC%8A%B5%EA%B8%B0</t>
        </is>
      </c>
      <c r="L85" s="14" t="inlineStr">
        <is>
          <t>⚠쿠팡이최저=마진X / 2위:네이버페이=199,000원 (11번가·G마켓·하이마트 등과 동일)</t>
        </is>
      </c>
      <c r="M85" s="15" t="n">
        <v>0</v>
      </c>
      <c r="N85" s="16" t="inlineStr">
        <is>
          <t>파세코</t>
        </is>
      </c>
      <c r="O85" s="16" t="inlineStr">
        <is>
          <t>PDH-2025FW</t>
        </is>
      </c>
      <c r="P85" s="17" t="inlineStr">
        <is>
          <t>파세코 PDH-2025FW</t>
        </is>
      </c>
      <c r="Q85" s="16" t="inlineStr">
        <is>
          <t>20</t>
        </is>
      </c>
      <c r="R85" s="17" t="inlineStr">
        <is>
          <t>습도자동조절, 연속배수, 성에제거</t>
        </is>
      </c>
      <c r="S85" s="18" t="n">
        <v>67</v>
      </c>
      <c r="T85" s="15" t="n"/>
      <c r="U85" s="15" t="n"/>
      <c r="V85" s="15" t="n"/>
      <c r="W85" s="15" t="n"/>
      <c r="X85" s="12" t="n"/>
      <c r="Y85" s="19" t="n"/>
      <c r="Z85" s="17" t="inlineStr"/>
      <c r="AA85" s="17" t="inlineStr"/>
    </row>
    <row r="86" ht="30" customHeight="1">
      <c r="A86" s="9" t="n"/>
      <c r="B86" s="9">
        <f>IF(OR(H86="",I86=""),"위너가입력필요",IF(OR(T86="",U86="",V86=""),"쿠팡검증필요",IF(OR(U86="로켓그로스",T86&lt;2,V86&lt;30,D86&lt;5),"제외",IF(AND(T86&gt;=2,U86="일반",V86&gt;=100,D86&gt;=12),"S",IF(AND(T86&gt;=2,U86="일반",V86&gt;=50,D86&gt;=8),"A",IF(AND(V86&gt;=30,T86&gt;=2,D86&gt;=5),"B","C"))))))</f>
        <v/>
      </c>
      <c r="C86" s="10">
        <f>IF(H86="","",ROUND(H86-I86-H86*0.17-M86,0))</f>
        <v/>
      </c>
      <c r="D86" s="11">
        <f>IF(OR(H86="",H86=0),"",ROUND(C86/H86*100,1))</f>
        <v/>
      </c>
      <c r="E86" s="10" t="n">
        <v>234530</v>
      </c>
      <c r="F86" s="10" t="n">
        <v>259547</v>
      </c>
      <c r="G86" s="10" t="n">
        <v>274169</v>
      </c>
      <c r="H86" s="12" t="n"/>
      <c r="I86" s="13" t="n">
        <v>194660</v>
      </c>
      <c r="J86" s="14" t="inlineStr">
        <is>
          <t>옥션</t>
        </is>
      </c>
      <c r="K86" s="14" t="inlineStr">
        <is>
          <t>https://search.danawa.com/dsearch.php?query=%ED%8C%8C%EC%84%B8%EC%BD%94%20%EC%A0%9C%EC%8A%B5%EA%B8%B0</t>
        </is>
      </c>
      <c r="L86" s="14" t="inlineStr">
        <is>
          <t>2위:G마켓=194,660원</t>
        </is>
      </c>
      <c r="M86" s="15" t="n">
        <v>0</v>
      </c>
      <c r="N86" s="16" t="inlineStr">
        <is>
          <t>파세코</t>
        </is>
      </c>
      <c r="O86" s="16" t="inlineStr">
        <is>
          <t>PDH-16251W</t>
        </is>
      </c>
      <c r="P86" s="17" t="inlineStr">
        <is>
          <t>파세코 PDH-16251W</t>
        </is>
      </c>
      <c r="Q86" s="16" t="inlineStr">
        <is>
          <t>16</t>
        </is>
      </c>
      <c r="R86" s="17" t="inlineStr">
        <is>
          <t>습도자동조절, 만수알림, 연속배수, 성에제거</t>
        </is>
      </c>
      <c r="S86" s="18" t="n">
        <v>50</v>
      </c>
      <c r="T86" s="15" t="n"/>
      <c r="U86" s="15" t="n"/>
      <c r="V86" s="15" t="n"/>
      <c r="W86" s="15" t="n"/>
      <c r="X86" s="12" t="n"/>
      <c r="Y86" s="19" t="n"/>
      <c r="Z86" s="17" t="inlineStr"/>
      <c r="AA86" s="17" t="inlineStr"/>
    </row>
    <row r="87" ht="30" customHeight="1">
      <c r="A87" s="9" t="n"/>
      <c r="B87" s="9">
        <f>IF(OR(H87="",I87=""),"위너가입력필요",IF(OR(T87="",U87="",V87=""),"쿠팡검증필요",IF(OR(U87="로켓그로스",T87&lt;2,V87&lt;30,D87&lt;5),"제외",IF(AND(T87&gt;=2,U87="일반",V87&gt;=100,D87&gt;=12),"S",IF(AND(T87&gt;=2,U87="일반",V87&gt;=50,D87&gt;=8),"A",IF(AND(V87&gt;=30,T87&gt;=2,D87&gt;=5),"B","C"))))))</f>
        <v/>
      </c>
      <c r="C87" s="10">
        <f>IF(H87="","",ROUND(H87-I87-H87*0.17-M87,0))</f>
        <v/>
      </c>
      <c r="D87" s="11">
        <f>IF(OR(H87="",H87=0),"",ROUND(C87/H87*100,1))</f>
        <v/>
      </c>
      <c r="E87" s="10" t="n">
        <v>82783</v>
      </c>
      <c r="F87" s="10" t="n">
        <v>91613</v>
      </c>
      <c r="G87" s="10" t="n">
        <v>96775</v>
      </c>
      <c r="H87" s="12" t="n"/>
      <c r="I87" s="13" t="n">
        <v>68710</v>
      </c>
      <c r="J87" s="14" t="inlineStr">
        <is>
          <t>(미확인)</t>
        </is>
      </c>
      <c r="K87" s="14" t="inlineStr">
        <is>
          <t>https://search.danawa.com/dsearch.php?query=%EC%86%8C%ED%98%95%20%EC%A0%9C%EC%8A%B5%EA%B8%B0%20%EC%9B%90%EB%A3%B8%20%ED%99%94%EC%9E%A5%EC%8B%A4</t>
        </is>
      </c>
      <c r="L87" s="14" t="inlineStr"/>
      <c r="M87" s="15" t="n">
        <v>0</v>
      </c>
      <c r="N87" s="16" t="inlineStr">
        <is>
          <t>스피세프</t>
        </is>
      </c>
      <c r="O87" s="16" t="inlineStr"/>
      <c r="P87" s="17" t="inlineStr">
        <is>
          <t>스피세프 미니 제습기</t>
        </is>
      </c>
      <c r="Q87" s="16" t="inlineStr"/>
      <c r="R87" s="17" t="inlineStr">
        <is>
          <t>습도자동조절/습도표시/수위표시/타이머</t>
        </is>
      </c>
      <c r="S87" s="18" t="n">
        <v>6</v>
      </c>
      <c r="T87" s="15" t="n"/>
      <c r="U87" s="15" t="n"/>
      <c r="V87" s="15" t="n"/>
      <c r="W87" s="15" t="n"/>
      <c r="X87" s="12" t="n"/>
      <c r="Y87" s="19" t="n"/>
      <c r="Z87" s="17" t="inlineStr"/>
      <c r="AA87" s="17" t="inlineStr"/>
    </row>
  </sheetData>
  <mergeCells count="2">
    <mergeCell ref="A1:AA1"/>
    <mergeCell ref="A2:AA2"/>
  </mergeCells>
  <conditionalFormatting sqref="C4:C87">
    <cfRule type="cellIs" priority="1" operator="greaterThanOrEqual" dxfId="0">
      <formula>10</formula>
    </cfRule>
    <cfRule type="cellIs" priority="2" operator="lessThan" dxfId="1">
      <formula>10</formula>
    </cfRule>
  </conditionalFormatting>
  <conditionalFormatting sqref="D4:D87">
    <cfRule type="cellIs" priority="3" operator="greaterThanOrEqual" dxfId="2">
      <formula>12</formula>
    </cfRule>
    <cfRule type="cellIs" priority="4" operator="between" dxfId="3">
      <formula>8</formula>
      <formula>11.999</formula>
    </cfRule>
    <cfRule type="cellIs" priority="5" operator="between" dxfId="4">
      <formula>5</formula>
      <formula>7.999</formula>
    </cfRule>
    <cfRule type="cellIs" priority="6" operator="lessThan" dxfId="5">
      <formula>5</formula>
    </cfRule>
  </conditionalFormatting>
  <conditionalFormatting sqref="B4:B87">
    <cfRule type="expression" priority="7" dxfId="6">
      <formula>OR(B4="S",B4="A")</formula>
    </cfRule>
    <cfRule type="expression" priority="8" dxfId="4">
      <formula>B4="B"</formula>
    </cfRule>
    <cfRule type="expression" priority="9" dxfId="1">
      <formula>B4="제외"</formula>
    </cfRule>
  </conditionalFormatting>
  <conditionalFormatting sqref="J4:J87">
    <cfRule type="expression" priority="10" dxfId="7">
      <formula>ISNUMBER(SEARCH("쿠팡",L4))</formula>
    </cfRule>
  </conditionalFormatting>
  <dataValidations count="2">
    <dataValidation sqref="U4:U87" showDropDown="0" showInputMessage="0" showErrorMessage="0" allowBlank="1" type="list">
      <formula1>"일반,로켓그로스"</formula1>
    </dataValidation>
    <dataValidation sqref="W4:W87" showDropDown="0" showInputMessage="0" showErrorMessage="0" allowBlank="1" type="list">
      <formula1>"Y,N"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B30"/>
  <sheetViews>
    <sheetView workbookViewId="0">
      <selection activeCell="A1" sqref="A1"/>
    </sheetView>
  </sheetViews>
  <sheetFormatPr baseColWidth="8" defaultRowHeight="15"/>
  <cols>
    <col width="3" customWidth="1" min="1" max="1"/>
    <col width="112" customWidth="1" min="2" max="2"/>
  </cols>
  <sheetData>
    <row r="1">
      <c r="B1" s="20" t="inlineStr">
        <is>
          <t>⚠ 이 시트로 무엇이 되고, 무엇이 안 되는가 (반드시 읽기)</t>
        </is>
      </c>
    </row>
    <row r="2">
      <c r="B2" s="21" t="inlineStr"/>
    </row>
    <row r="3">
      <c r="B3" s="22" t="inlineStr">
        <is>
          <t>1. 자동으로 채워진 것 (실제 조회 데이터)</t>
        </is>
      </c>
    </row>
    <row r="4">
      <c r="B4" s="21" t="inlineStr">
        <is>
          <t>• 🏪 국내최저 소싱처 / 소싱가 / 소싱처 URL — 다나와 가격비교 실조회. 해외배송·해외직구·품절·카드전용가는 제외한 국내 최저가.</t>
        </is>
      </c>
    </row>
    <row r="5">
      <c r="B5" s="21" t="inlineStr">
        <is>
          <t>• 손익분기/8%/12% 목표 위너가 — 소싱가 기준 자동계산(어떤 뷰어에서도 즉시 표시).</t>
        </is>
      </c>
    </row>
    <row r="6">
      <c r="B6" s="21" t="inlineStr">
        <is>
          <t>• '소싱 비고'에 '쿠팡최저'가 뜨면(빨강) 다나와 최저가가 쿠팡 자신이라 매입-재판매 마진이 사실상 없음 → 우선 제외.</t>
        </is>
      </c>
    </row>
    <row r="7">
      <c r="B7" s="21" t="inlineStr"/>
    </row>
    <row r="8">
      <c r="B8" s="22" t="inlineStr">
        <is>
          <t>2. 비워둔 것 (쿠팡 봇차단으로 자동취득 불가 — 노란칸 ①④⑤⑥⑦⑧⑨)</t>
        </is>
      </c>
    </row>
    <row r="9">
      <c r="B9" s="21" t="inlineStr">
        <is>
          <t>• 쿠팡 위너가격 / 신품 판매자수 / 위너 배송형태 / 상품평수 / 최근리뷰 / 2위가 / 상품 URL.</t>
        </is>
      </c>
    </row>
    <row r="10">
      <c r="B10" s="21" t="inlineStr">
        <is>
          <t>• 이유: 이 환경에서 쿠팡은 403 + 실브라우저 연결리셋(Akamai 봇차단, 데이터센터 IP). 로그인 자격증명 없음.</t>
        </is>
      </c>
    </row>
    <row r="11">
      <c r="B11" s="21" t="inlineStr">
        <is>
          <t>• 지침(추정금지·판매자수 확인불가 제외)상 이 값들은 지어내지 않았다.</t>
        </is>
      </c>
    </row>
    <row r="12">
      <c r="B12" s="21" t="inlineStr"/>
    </row>
    <row r="13">
      <c r="B13" s="22" t="inlineStr">
        <is>
          <t>3. 사용법 — 위너경쟁은 최저가 싸움</t>
        </is>
      </c>
    </row>
    <row r="14">
      <c r="B14" s="21" t="inlineStr">
        <is>
          <t>① 쿠팡(로그인)에서 모델번호로 검색 → 동일모델(스펙·KC 동일) 상세페이지.</t>
        </is>
      </c>
    </row>
    <row r="15">
      <c r="B15" s="21" t="inlineStr">
        <is>
          <t>② '다른 판매자 보기'로 신품 판매자수·위너 배송형태·위너가·2위가 확인 → 노란칸 입력.</t>
        </is>
      </c>
    </row>
    <row r="16">
      <c r="B16" s="21" t="inlineStr">
        <is>
          <t>③ 입력 즉시 등급/예상마진/마진율 자동. 예상마진 10원↑=초록, 손실=빨강.</t>
        </is>
      </c>
    </row>
    <row r="17">
      <c r="B17" s="21" t="inlineStr">
        <is>
          <t>④ 빠른 컷: 쿠팡 위너가가 'E열 손익분기 위너가'보다 낮으면 그 행은 스킵(마진 안 남음).</t>
        </is>
      </c>
    </row>
    <row r="18">
      <c r="B18" s="21" t="inlineStr">
        <is>
          <t>⑤ 소싱은 🏪 국내최저 소싱처에서. '소싱비고=쿠팡최저'거나 카드전용가면 매입처로 부적합.</t>
        </is>
      </c>
    </row>
    <row r="19">
      <c r="B19" s="21" t="inlineStr"/>
    </row>
    <row r="20">
      <c r="B20" s="22" t="inlineStr">
        <is>
          <t>4. 소싱 제외 규칙(반영됨)</t>
        </is>
      </c>
    </row>
    <row r="21">
      <c r="B21" s="21" t="inlineStr">
        <is>
          <t>• 해외배송/해외직구 판매처 = 제외(판매자점수 하락 위험).</t>
        </is>
      </c>
    </row>
    <row r="22">
      <c r="B22" s="21" t="inlineStr">
        <is>
          <t>• 품절 판매처 = 제외.  • 특정카드 전용가 = 정상 매입가로 불인정(비고 표시).</t>
        </is>
      </c>
    </row>
    <row r="23">
      <c r="B23" s="21" t="inlineStr">
        <is>
          <t>• 렌탈·중고·리퍼·병행수입 = 제외.</t>
        </is>
      </c>
    </row>
    <row r="24">
      <c r="B24" s="21" t="inlineStr"/>
    </row>
    <row r="25">
      <c r="B25" s="22" t="inlineStr">
        <is>
          <t>5. 마진/등급 계산</t>
        </is>
      </c>
    </row>
    <row r="26">
      <c r="B26" s="21" t="inlineStr">
        <is>
          <t>예상마진 = 쿠팡위너가 − 소싱가 − 쿠팡위너가×17% − 판매자택배비.   손익분기위너가 = 소싱가/0.83, 8%=/0.75, 12%=/0.71.</t>
        </is>
      </c>
    </row>
    <row r="27">
      <c r="B27" s="21" t="inlineStr">
        <is>
          <t>제외: 위너=로켓그로스 or 판매자&lt;2 or 상품평&lt;30 or 마진율&lt;5.  S:판매자≥2·일반·평≥100·마진율≥12  A:평≥50·마진율≥8  B:평≥30·마진율≥5.</t>
        </is>
      </c>
    </row>
    <row r="28">
      <c r="B28" s="21" t="inlineStr"/>
    </row>
    <row r="29">
      <c r="B29" s="22" t="inlineStr">
        <is>
          <t>6. 쿠팡 데이터 취득 방법</t>
        </is>
      </c>
    </row>
    <row r="30">
      <c r="B30" s="21" t="inlineStr">
        <is>
          <t>(a) 사장님 PC/폰(가정용 IP)+쿠팡 로그인 직접확인(무료·정확)  (b) 아이템스카우트/판다랭크/셀러라이프(유료)  (c) 주거용 프록시 크롤러(별도환경).</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6" customWidth="1" min="3" max="3"/>
    <col width="18" customWidth="1" min="4" max="4"/>
    <col width="7" customWidth="1" min="5" max="5"/>
    <col width="12" customWidth="1" min="6" max="6"/>
    <col width="12" customWidth="1" min="7" max="7"/>
    <col width="16" customWidth="1" min="8" max="8"/>
    <col width="8" customWidth="1" min="9" max="9"/>
    <col width="30" customWidth="1" min="10" max="10"/>
    <col width="18" customWidth="1" min="11" max="11"/>
  </cols>
  <sheetData>
    <row r="1">
      <c r="A1" s="4" t="inlineStr">
        <is>
          <t>세그먼트</t>
        </is>
      </c>
      <c r="B1" s="4" t="inlineStr">
        <is>
          <t>브랜드</t>
        </is>
      </c>
      <c r="C1" s="4" t="inlineStr">
        <is>
          <t>상품명</t>
        </is>
      </c>
      <c r="D1" s="4" t="inlineStr">
        <is>
          <t>모델번호</t>
        </is>
      </c>
      <c r="E1" s="4" t="inlineStr">
        <is>
          <t>용량(L)</t>
        </is>
      </c>
      <c r="F1" s="4" t="inlineStr">
        <is>
          <t>다나와최저가</t>
        </is>
      </c>
      <c r="G1" s="4" t="inlineStr">
        <is>
          <t>국내최저소싱가</t>
        </is>
      </c>
      <c r="H1" s="4" t="inlineStr">
        <is>
          <t>국내최저소싱처</t>
        </is>
      </c>
      <c r="I1" s="4" t="inlineStr">
        <is>
          <t>판매처수</t>
        </is>
      </c>
      <c r="J1" s="4" t="inlineStr">
        <is>
          <t>소싱처URL</t>
        </is>
      </c>
      <c r="K1" s="4" t="inlineStr">
        <is>
          <t>비고</t>
        </is>
      </c>
    </row>
    <row r="2">
      <c r="A2" s="23" t="inlineStr">
        <is>
          <t>위닉스 소형 10-12L</t>
        </is>
      </c>
      <c r="B2" s="23" t="inlineStr">
        <is>
          <t>위닉스</t>
        </is>
      </c>
      <c r="C2" s="24" t="inlineStr">
        <is>
          <t>위닉스 뽀송 DXAE100-JWK</t>
        </is>
      </c>
      <c r="D2" s="23" t="inlineStr">
        <is>
          <t>DXAE100-JWK</t>
        </is>
      </c>
      <c r="E2" s="23" t="inlineStr">
        <is>
          <t>10</t>
        </is>
      </c>
      <c r="F2" s="25" t="n">
        <v>271800</v>
      </c>
      <c r="G2" s="25" t="n">
        <v>271800</v>
      </c>
      <c r="H2" s="24" t="inlineStr">
        <is>
          <t>센바이노 네이버페이</t>
        </is>
      </c>
      <c r="I2" s="23" t="n">
        <v>61</v>
      </c>
      <c r="J2" s="24" t="inlineStr">
        <is>
          <t>https://search.danawa.com/dsearch.php?query=%EC%9C%84%EB%8B%89%EC%8A%A4%20%EC%A0%9C%EC%8A%B5%EA%B8%B0%2010L</t>
        </is>
      </c>
      <c r="K2" s="23" t="inlineStr">
        <is>
          <t>정상판매</t>
        </is>
      </c>
    </row>
    <row r="3">
      <c r="A3" s="23" t="inlineStr">
        <is>
          <t>위닉스 소형 10-12L</t>
        </is>
      </c>
      <c r="B3" s="23" t="inlineStr">
        <is>
          <t>위닉스</t>
        </is>
      </c>
      <c r="C3" s="24" t="inlineStr">
        <is>
          <t>위닉스 뽀송 DXAH100-JWK</t>
        </is>
      </c>
      <c r="D3" s="23" t="inlineStr">
        <is>
          <t>DXAH100-JWK</t>
        </is>
      </c>
      <c r="E3" s="23" t="inlineStr">
        <is>
          <t>10</t>
        </is>
      </c>
      <c r="F3" s="25" t="n">
        <v>245250</v>
      </c>
      <c r="G3" s="25" t="n">
        <v>245250</v>
      </c>
      <c r="H3" s="24" t="inlineStr">
        <is>
          <t>옥션</t>
        </is>
      </c>
      <c r="I3" s="23" t="n">
        <v>48</v>
      </c>
      <c r="J3" s="24" t="inlineStr">
        <is>
          <t>https://search.danawa.com/dsearch.php?query=%EC%9C%84%EB%8B%89%EC%8A%A4%20%EC%A0%9C%EC%8A%B5%EA%B8%B0%2010L</t>
        </is>
      </c>
      <c r="K3" s="23" t="inlineStr">
        <is>
          <t>정상판매</t>
        </is>
      </c>
    </row>
    <row r="4">
      <c r="A4" s="23" t="inlineStr">
        <is>
          <t>위닉스 소형 10-12L</t>
        </is>
      </c>
      <c r="B4" s="23" t="inlineStr">
        <is>
          <t>위닉스</t>
        </is>
      </c>
      <c r="C4" s="24" t="inlineStr">
        <is>
          <t>위닉스 뽀송 DXTM100-KWK</t>
        </is>
      </c>
      <c r="D4" s="23" t="inlineStr">
        <is>
          <t>DXTM100-KWK</t>
        </is>
      </c>
      <c r="E4" s="23" t="inlineStr">
        <is>
          <t>10</t>
        </is>
      </c>
      <c r="F4" s="25" t="n">
        <v>228080</v>
      </c>
      <c r="G4" s="25" t="n">
        <v>228080</v>
      </c>
      <c r="H4" s="24" t="inlineStr">
        <is>
          <t>옥션</t>
        </is>
      </c>
      <c r="I4" s="23" t="n">
        <v>32</v>
      </c>
      <c r="J4" s="24" t="inlineStr">
        <is>
          <t>https://search.danawa.com/dsearch.php?query=%EC%9C%84%EB%8B%89%EC%8A%A4%20%EC%A0%9C%EC%8A%B5%EA%B8%B0%2010L</t>
        </is>
      </c>
      <c r="K4" s="23" t="inlineStr">
        <is>
          <t>정상판매</t>
        </is>
      </c>
    </row>
    <row r="5">
      <c r="A5" s="23" t="inlineStr">
        <is>
          <t>위닉스 소형 10-12L</t>
        </is>
      </c>
      <c r="B5" s="23" t="inlineStr">
        <is>
          <t>위닉스</t>
        </is>
      </c>
      <c r="C5" s="24" t="inlineStr">
        <is>
          <t>위닉스 뽀송 DXTE100-KWK</t>
        </is>
      </c>
      <c r="D5" s="23" t="inlineStr">
        <is>
          <t>DXTE100-KWK</t>
        </is>
      </c>
      <c r="E5" s="23" t="inlineStr">
        <is>
          <t>10</t>
        </is>
      </c>
      <c r="F5" s="25" t="n">
        <v>297230</v>
      </c>
      <c r="G5" s="25" t="n">
        <v>297230</v>
      </c>
      <c r="H5" s="24" t="inlineStr">
        <is>
          <t>롯데ON</t>
        </is>
      </c>
      <c r="I5" s="23" t="n">
        <v>22</v>
      </c>
      <c r="J5" s="24" t="inlineStr">
        <is>
          <t>https://search.danawa.com/dsearch.php?query=%EC%9C%84%EB%8B%89%EC%8A%A4%20%EC%A0%9C%EC%8A%B5%EA%B8%B0%2010L</t>
        </is>
      </c>
      <c r="K5" s="23" t="inlineStr">
        <is>
          <t>정상판매</t>
        </is>
      </c>
    </row>
    <row r="6">
      <c r="A6" s="23" t="inlineStr">
        <is>
          <t>위닉스 소형 10-12L</t>
        </is>
      </c>
      <c r="B6" s="23" t="inlineStr">
        <is>
          <t>위닉스</t>
        </is>
      </c>
      <c r="C6" s="24" t="inlineStr">
        <is>
          <t>위닉스 뽀송 DXAH100-IWK</t>
        </is>
      </c>
      <c r="D6" s="23" t="inlineStr">
        <is>
          <t>DXAH100-IWK</t>
        </is>
      </c>
      <c r="E6" s="23" t="inlineStr">
        <is>
          <t>10</t>
        </is>
      </c>
      <c r="F6" s="25" t="n">
        <v>246800</v>
      </c>
      <c r="G6" s="25" t="n">
        <v>246800</v>
      </c>
      <c r="H6" s="24" t="inlineStr">
        <is>
          <t>옥션</t>
        </is>
      </c>
      <c r="I6" s="23" t="n">
        <v>6</v>
      </c>
      <c r="J6" s="24" t="inlineStr">
        <is>
          <t>https://search.danawa.com/dsearch.php?query=%EC%9C%84%EB%8B%89%EC%8A%A4%20%EC%A0%9C%EC%8A%B5%EA%B8%B0%2010L</t>
        </is>
      </c>
      <c r="K6" s="23" t="inlineStr">
        <is>
          <t>정상판매</t>
        </is>
      </c>
    </row>
    <row r="7">
      <c r="A7" s="23" t="inlineStr">
        <is>
          <t>위닉스 소형 10-12L</t>
        </is>
      </c>
      <c r="B7" s="23" t="inlineStr">
        <is>
          <t>위닉스</t>
        </is>
      </c>
      <c r="C7" s="24" t="inlineStr">
        <is>
          <t>위닉스 뽀송 DXTC100-MMK</t>
        </is>
      </c>
      <c r="D7" s="23" t="inlineStr">
        <is>
          <t>DXTC100-MMK</t>
        </is>
      </c>
      <c r="E7" s="23" t="inlineStr">
        <is>
          <t>10</t>
        </is>
      </c>
      <c r="F7" s="25" t="n">
        <v>299000</v>
      </c>
      <c r="G7" s="25" t="n">
        <v>299000</v>
      </c>
      <c r="H7" s="24" t="inlineStr">
        <is>
          <t>롯데홈쇼핑</t>
        </is>
      </c>
      <c r="I7" s="23" t="n">
        <v>3</v>
      </c>
      <c r="J7" s="24" t="inlineStr">
        <is>
          <t>https://search.danawa.com/dsearch.php?query=%EC%9C%84%EB%8B%89%EC%8A%A4%20%EC%A0%9C%EC%8A%B5%EA%B8%B0%2010L</t>
        </is>
      </c>
      <c r="K7" s="23" t="inlineStr">
        <is>
          <t>정상판매</t>
        </is>
      </c>
    </row>
    <row r="8">
      <c r="A8" s="23" t="inlineStr">
        <is>
          <t>위닉스 소형 10-12L</t>
        </is>
      </c>
      <c r="B8" s="23" t="inlineStr">
        <is>
          <t>위닉스</t>
        </is>
      </c>
      <c r="C8" s="24" t="inlineStr">
        <is>
          <t>위닉스 뽀송 DNDE100-HWK</t>
        </is>
      </c>
      <c r="D8" s="23" t="inlineStr">
        <is>
          <t>DNDE100-HWK</t>
        </is>
      </c>
      <c r="E8" s="23" t="inlineStr">
        <is>
          <t>10</t>
        </is>
      </c>
      <c r="F8" s="25" t="n">
        <v>308840</v>
      </c>
      <c r="G8" s="25" t="inlineStr"/>
      <c r="H8" s="24" t="inlineStr"/>
      <c r="I8" s="23" t="n">
        <v>2</v>
      </c>
      <c r="J8" s="24" t="inlineStr">
        <is>
          <t>https://search.danawa.com/dsearch.php?query=%EC%9C%84%EB%8B%89%EC%8A%A4%20%EC%A0%9C%EC%8A%B5%EA%B8%B0%2010L</t>
        </is>
      </c>
      <c r="K8" s="23" t="inlineStr">
        <is>
          <t>정상판매</t>
        </is>
      </c>
    </row>
    <row r="9">
      <c r="A9" s="23" t="inlineStr">
        <is>
          <t>위닉스 소형 10-12L</t>
        </is>
      </c>
      <c r="B9" s="23" t="inlineStr">
        <is>
          <t>위닉스</t>
        </is>
      </c>
      <c r="C9" s="24" t="inlineStr">
        <is>
          <t>위닉스 뽀송 DXTP100-KWK</t>
        </is>
      </c>
      <c r="D9" s="23" t="inlineStr">
        <is>
          <t>DXTP100-KWK</t>
        </is>
      </c>
      <c r="E9" s="23" t="inlineStr">
        <is>
          <t>10</t>
        </is>
      </c>
      <c r="F9" s="25" t="n">
        <v>314800</v>
      </c>
      <c r="G9" s="25" t="inlineStr"/>
      <c r="H9" s="24" t="inlineStr"/>
      <c r="I9" s="23" t="n">
        <v>1</v>
      </c>
      <c r="J9" s="24" t="inlineStr">
        <is>
          <t>https://search.danawa.com/dsearch.php?query=%EC%9C%84%EB%8B%89%EC%8A%A4%20%EC%A0%9C%EC%8A%B5%EA%B8%B0%2010L</t>
        </is>
      </c>
      <c r="K9" s="23" t="inlineStr">
        <is>
          <t>정상판매(판매처 1곳)</t>
        </is>
      </c>
    </row>
    <row r="10">
      <c r="A10" s="23" t="inlineStr">
        <is>
          <t>위닉스 뽀송 16L</t>
        </is>
      </c>
      <c r="B10" s="23" t="inlineStr">
        <is>
          <t>위닉스</t>
        </is>
      </c>
      <c r="C10" s="24" t="inlineStr">
        <is>
          <t>위닉스 뽀송 16L 제습기 DCVE160-PEK</t>
        </is>
      </c>
      <c r="D10" s="23" t="inlineStr">
        <is>
          <t>DCVE160-PEK</t>
        </is>
      </c>
      <c r="E10" s="23" t="inlineStr">
        <is>
          <t>16</t>
        </is>
      </c>
      <c r="F10" s="25" t="n">
        <v>233700</v>
      </c>
      <c r="G10" s="25" t="n">
        <v>233700</v>
      </c>
      <c r="H10" s="24" t="inlineStr">
        <is>
          <t>G마켓</t>
        </is>
      </c>
      <c r="I10" s="23" t="n">
        <v>172</v>
      </c>
      <c r="J10" s="24" t="inlineStr">
        <is>
          <t>https://search.danawa.com/dsearch.php?query=%EC%9C%84%EB%8B%89%EC%8A%A4%20%EB%BD%80%EC%86%A1%2016L%20%EC%A0%9C%EC%8A%B5%EA%B8%B0</t>
        </is>
      </c>
      <c r="K10" s="23" t="inlineStr"/>
    </row>
    <row r="11">
      <c r="A11" s="23" t="inlineStr">
        <is>
          <t>위닉스 뽀송 16L</t>
        </is>
      </c>
      <c r="B11" s="23" t="inlineStr">
        <is>
          <t>위닉스</t>
        </is>
      </c>
      <c r="C11" s="24" t="inlineStr">
        <is>
          <t>위닉스 뽀송 16L 제습기 DO2E160-JWK</t>
        </is>
      </c>
      <c r="D11" s="23" t="inlineStr">
        <is>
          <t>DO2E160-JWK</t>
        </is>
      </c>
      <c r="E11" s="23" t="inlineStr">
        <is>
          <t>16</t>
        </is>
      </c>
      <c r="F11" s="25" t="n">
        <v>289000</v>
      </c>
      <c r="G11" s="25" t="n">
        <v>289000</v>
      </c>
      <c r="H11" s="24" t="inlineStr">
        <is>
          <t>오늘의집</t>
        </is>
      </c>
      <c r="I11" s="23" t="n">
        <v>212</v>
      </c>
      <c r="J11" s="24" t="inlineStr">
        <is>
          <t>https://search.danawa.com/dsearch.php?query=%EC%9C%84%EB%8B%89%EC%8A%A4%20%EB%BD%80%EC%86%A1%2016L%20%EC%A0%9C%EC%8A%B5%EA%B8%B0</t>
        </is>
      </c>
      <c r="K11" s="23" t="inlineStr"/>
    </row>
    <row r="12">
      <c r="A12" s="23" t="inlineStr">
        <is>
          <t>위닉스 뽀송 16L</t>
        </is>
      </c>
      <c r="B12" s="23" t="inlineStr">
        <is>
          <t>위닉스</t>
        </is>
      </c>
      <c r="C12" s="24" t="inlineStr">
        <is>
          <t>위닉스 뽀송 16L 제습기 DN2E160-KWK</t>
        </is>
      </c>
      <c r="D12" s="23" t="inlineStr">
        <is>
          <t>DN2E160-KWK</t>
        </is>
      </c>
      <c r="E12" s="23" t="inlineStr">
        <is>
          <t>16</t>
        </is>
      </c>
      <c r="F12" s="25" t="n">
        <v>293037</v>
      </c>
      <c r="G12" s="25" t="n">
        <v>293037</v>
      </c>
      <c r="H12" s="24" t="inlineStr">
        <is>
          <t>SSG.COM</t>
        </is>
      </c>
      <c r="I12" s="23" t="n">
        <v>245</v>
      </c>
      <c r="J12" s="24" t="inlineStr">
        <is>
          <t>https://search.danawa.com/dsearch.php?query=%EC%9C%84%EB%8B%89%EC%8A%A4%20%EB%BD%80%EC%86%A1%2016L%20%EC%A0%9C%EC%8A%B5%EA%B8%B0</t>
        </is>
      </c>
      <c r="K12" s="23" t="inlineStr"/>
    </row>
    <row r="13">
      <c r="A13" s="23" t="inlineStr">
        <is>
          <t>위닉스 뽀송 16L</t>
        </is>
      </c>
      <c r="B13" s="23" t="inlineStr">
        <is>
          <t>위닉스</t>
        </is>
      </c>
      <c r="C13" s="24" t="inlineStr">
        <is>
          <t>위닉스 뽀송 16L 제습기 DN2H160-IWK</t>
        </is>
      </c>
      <c r="D13" s="23" t="inlineStr">
        <is>
          <t>DN2H160-IWK</t>
        </is>
      </c>
      <c r="E13" s="23" t="inlineStr">
        <is>
          <t>16</t>
        </is>
      </c>
      <c r="F13" s="25" t="n">
        <v>382890</v>
      </c>
      <c r="G13" s="25" t="n">
        <v>382890</v>
      </c>
      <c r="H13" s="24" t="inlineStr">
        <is>
          <t>11번가</t>
        </is>
      </c>
      <c r="I13" s="23" t="n">
        <v>74</v>
      </c>
      <c r="J13" s="24" t="inlineStr">
        <is>
          <t>https://search.danawa.com/dsearch.php?query=%EC%9C%84%EB%8B%89%EC%8A%A4%20%EB%BD%80%EC%86%A1%2016L%20%EC%A0%9C%EC%8A%B5%EA%B8%B0</t>
        </is>
      </c>
      <c r="K13" s="23" t="inlineStr"/>
    </row>
    <row r="14">
      <c r="A14" s="23" t="inlineStr">
        <is>
          <t>위닉스 뽀송 16L</t>
        </is>
      </c>
      <c r="B14" s="23" t="inlineStr">
        <is>
          <t>위닉스</t>
        </is>
      </c>
      <c r="C14" s="24" t="inlineStr">
        <is>
          <t>위닉스 뽀송 16L 제습기 DN2W160-KWK</t>
        </is>
      </c>
      <c r="D14" s="23" t="inlineStr">
        <is>
          <t>DN2W160-KWK</t>
        </is>
      </c>
      <c r="E14" s="23" t="inlineStr">
        <is>
          <t>16</t>
        </is>
      </c>
      <c r="F14" s="25" t="n">
        <v>339000</v>
      </c>
      <c r="G14" s="25" t="n">
        <v>339000</v>
      </c>
      <c r="H14" s="24" t="inlineStr">
        <is>
          <t>쿠팡</t>
        </is>
      </c>
      <c r="I14" s="23" t="n">
        <v>47</v>
      </c>
      <c r="J14" s="24" t="inlineStr">
        <is>
          <t>https://search.danawa.com/dsearch.php?query=%EC%9C%84%EB%8B%89%EC%8A%A4%20%EB%BD%80%EC%86%A1%2016L%20%EC%A0%9C%EC%8A%B5%EA%B8%B0</t>
        </is>
      </c>
      <c r="K14" s="23" t="inlineStr"/>
    </row>
    <row r="15">
      <c r="A15" s="23" t="inlineStr">
        <is>
          <t>위닉스 뽀송 16L</t>
        </is>
      </c>
      <c r="B15" s="23" t="inlineStr">
        <is>
          <t>위닉스</t>
        </is>
      </c>
      <c r="C15" s="24" t="inlineStr">
        <is>
          <t>위닉스 뽀송 16L 제습기 DHD-169OSST</t>
        </is>
      </c>
      <c r="D15" s="23" t="inlineStr">
        <is>
          <t>DHD-169OSST</t>
        </is>
      </c>
      <c r="E15" s="23" t="inlineStr">
        <is>
          <t>16</t>
        </is>
      </c>
      <c r="F15" s="25" t="n">
        <v>494300</v>
      </c>
      <c r="G15" s="25" t="n">
        <v>494300</v>
      </c>
      <c r="H15" s="24" t="inlineStr">
        <is>
          <t>11번가</t>
        </is>
      </c>
      <c r="I15" s="23" t="n">
        <v>3</v>
      </c>
      <c r="J15" s="24" t="inlineStr">
        <is>
          <t>https://search.danawa.com/dsearch.php?query=%EC%9C%84%EB%8B%89%EC%8A%A4%20%EB%BD%80%EC%86%A1%2016L%20%EC%A0%9C%EC%8A%B5%EA%B8%B0</t>
        </is>
      </c>
      <c r="K15" s="23" t="inlineStr">
        <is>
          <t>판매처 3곳으로 적음</t>
        </is>
      </c>
    </row>
    <row r="16">
      <c r="A16" s="23" t="inlineStr">
        <is>
          <t>위닉스 뽀송 16L</t>
        </is>
      </c>
      <c r="B16" s="23" t="inlineStr">
        <is>
          <t>위닉스</t>
        </is>
      </c>
      <c r="C16" s="24" t="inlineStr">
        <is>
          <t>위닉스 뽀송 16L 제습기 DO2E160-HWK</t>
        </is>
      </c>
      <c r="D16" s="23" t="inlineStr">
        <is>
          <t>DO2E160-HWK</t>
        </is>
      </c>
      <c r="E16" s="23" t="inlineStr">
        <is>
          <t>16</t>
        </is>
      </c>
      <c r="F16" s="25" t="n">
        <v>402490</v>
      </c>
      <c r="G16" s="25" t="n">
        <v>402490</v>
      </c>
      <c r="H16" s="24" t="inlineStr">
        <is>
          <t>쿠팡</t>
        </is>
      </c>
      <c r="I16" s="23" t="n">
        <v>7</v>
      </c>
      <c r="J16" s="24" t="inlineStr">
        <is>
          <t>https://search.danawa.com/dsearch.php?query=%EC%9C%84%EB%8B%89%EC%8A%A4%20%EB%BD%80%EC%86%A1%2016L%20%EC%A0%9C%EC%8A%B5%EA%B8%B0</t>
        </is>
      </c>
      <c r="K16" s="23" t="inlineStr">
        <is>
          <t>판매처 7곳으로 적음</t>
        </is>
      </c>
    </row>
    <row r="17">
      <c r="A17" s="23" t="inlineStr">
        <is>
          <t>위닉스 뽀송 16L</t>
        </is>
      </c>
      <c r="B17" s="23" t="inlineStr">
        <is>
          <t>위닉스</t>
        </is>
      </c>
      <c r="C17" s="24" t="inlineStr">
        <is>
          <t>위닉스 뽀송 16L 제습기 DO2W160-IWK</t>
        </is>
      </c>
      <c r="D17" s="23" t="inlineStr">
        <is>
          <t>DO2W160-IWK</t>
        </is>
      </c>
      <c r="E17" s="23" t="inlineStr">
        <is>
          <t>16</t>
        </is>
      </c>
      <c r="F17" s="25" t="n">
        <v>421000</v>
      </c>
      <c r="G17" s="25" t="n">
        <v>421000</v>
      </c>
      <c r="H17" s="24" t="inlineStr">
        <is>
          <t>HI마트 네이버페이</t>
        </is>
      </c>
      <c r="I17" s="23" t="n">
        <v>6</v>
      </c>
      <c r="J17" s="24" t="inlineStr">
        <is>
          <t>https://search.danawa.com/dsearch.php?query=%EC%9C%84%EB%8B%89%EC%8A%A4%20%EB%BD%80%EC%86%A1%2016L%20%EC%A0%9C%EC%8A%B5%EA%B8%B0</t>
        </is>
      </c>
      <c r="K17" s="23" t="inlineStr">
        <is>
          <t>판매처 6곳으로 적음</t>
        </is>
      </c>
    </row>
    <row r="18">
      <c r="A18" s="23" t="inlineStr">
        <is>
          <t>위닉스 대용량 18-20L</t>
        </is>
      </c>
      <c r="B18" s="23" t="inlineStr">
        <is>
          <t>위닉스</t>
        </is>
      </c>
      <c r="C18" s="24" t="inlineStr">
        <is>
          <t>위닉스 뽀송 DXWE200-OEK</t>
        </is>
      </c>
      <c r="D18" s="23" t="inlineStr">
        <is>
          <t>DXWE200-OEK</t>
        </is>
      </c>
      <c r="E18" s="23" t="inlineStr">
        <is>
          <t>20</t>
        </is>
      </c>
      <c r="F18" s="25" t="n">
        <v>411260</v>
      </c>
      <c r="G18" s="25" t="n">
        <v>411260</v>
      </c>
      <c r="H18" s="24" t="inlineStr">
        <is>
          <t>쿠팡</t>
        </is>
      </c>
      <c r="I18" s="23" t="n">
        <v>190</v>
      </c>
      <c r="J18" s="24" t="inlineStr">
        <is>
          <t>https://search.danawa.com/dsearch.php?query=%EC%9C%84%EB%8B%89%EC%8A%A4%20%EC%A0%9C%EC%8A%B5%EA%B8%B0%2020L</t>
        </is>
      </c>
      <c r="K18" s="23" t="inlineStr"/>
    </row>
    <row r="19">
      <c r="A19" s="23" t="inlineStr">
        <is>
          <t>LG 휘센 제습기</t>
        </is>
      </c>
      <c r="B19" s="23" t="inlineStr">
        <is>
          <t>LG전자</t>
        </is>
      </c>
      <c r="C19" s="24" t="inlineStr">
        <is>
          <t>LG전자 휘센 DQ205PSVA</t>
        </is>
      </c>
      <c r="D19" s="23" t="inlineStr">
        <is>
          <t>DQ205PSVA</t>
        </is>
      </c>
      <c r="E19" s="23" t="inlineStr">
        <is>
          <t>20</t>
        </is>
      </c>
      <c r="F19" s="25" t="n">
        <v>406110</v>
      </c>
      <c r="G19" s="25" t="n">
        <v>543000</v>
      </c>
      <c r="H19" s="24" t="inlineStr">
        <is>
          <t>LG전자 (공식)</t>
        </is>
      </c>
      <c r="I19" s="23" t="n">
        <v>999</v>
      </c>
      <c r="J19" s="24" t="inlineStr">
        <is>
          <t>https://search.danawa.com/dsearch.php?query=LG%20%ED%9C%98%EC%84%BC%20%EC%A0%9C%EC%8A%B5%EA%B8%B0</t>
        </is>
      </c>
      <c r="K19" s="23" t="inlineStr">
        <is>
          <t>판매처 999+ 표기(실제 999 이상)</t>
        </is>
      </c>
    </row>
    <row r="20">
      <c r="A20" s="23" t="inlineStr">
        <is>
          <t>LG 휘센 제습기</t>
        </is>
      </c>
      <c r="B20" s="23" t="inlineStr">
        <is>
          <t>LG전자</t>
        </is>
      </c>
      <c r="C20" s="24" t="inlineStr">
        <is>
          <t>LG전자 휘센 오브제컬렉션 DQ256MWGA</t>
        </is>
      </c>
      <c r="D20" s="23" t="inlineStr">
        <is>
          <t>DQ256MWGA</t>
        </is>
      </c>
      <c r="E20" s="23" t="inlineStr">
        <is>
          <t>25</t>
        </is>
      </c>
      <c r="F20" s="25" t="n">
        <v>602580</v>
      </c>
      <c r="G20" s="25" t="n">
        <v>602580</v>
      </c>
      <c r="H20" s="24" t="inlineStr">
        <is>
          <t>옥션</t>
        </is>
      </c>
      <c r="I20" s="23" t="n">
        <v>487</v>
      </c>
      <c r="J20" s="24" t="inlineStr">
        <is>
          <t>https://search.danawa.com/dsearch.php?query=LG%20%ED%9C%98%EC%84%BC%20%EC%A0%9C%EC%8A%B5%EA%B8%B0</t>
        </is>
      </c>
      <c r="K20" s="23" t="inlineStr"/>
    </row>
    <row r="21">
      <c r="A21" s="23" t="inlineStr">
        <is>
          <t>LG 휘센 제습기</t>
        </is>
      </c>
      <c r="B21" s="23" t="inlineStr">
        <is>
          <t>LG전자</t>
        </is>
      </c>
      <c r="C21" s="24" t="inlineStr">
        <is>
          <t>LG전자 휘센 DQ205PBBC</t>
        </is>
      </c>
      <c r="D21" s="23" t="inlineStr">
        <is>
          <t>DQ205PBBC</t>
        </is>
      </c>
      <c r="E21" s="23" t="inlineStr">
        <is>
          <t>20</t>
        </is>
      </c>
      <c r="F21" s="25" t="n">
        <v>398500</v>
      </c>
      <c r="G21" s="25" t="n">
        <v>398500</v>
      </c>
      <c r="H21" s="24" t="inlineStr">
        <is>
          <t>11번가</t>
        </is>
      </c>
      <c r="I21" s="23" t="n">
        <v>675</v>
      </c>
      <c r="J21" s="24" t="inlineStr">
        <is>
          <t>https://search.danawa.com/dsearch.php?query=LG%20%ED%9C%98%EC%84%BC%20%EC%A0%9C%EC%8A%B5%EA%B8%B0</t>
        </is>
      </c>
      <c r="K21" s="23" t="inlineStr"/>
    </row>
    <row r="22">
      <c r="A22" s="23" t="inlineStr">
        <is>
          <t>LG 휘센 제습기</t>
        </is>
      </c>
      <c r="B22" s="23" t="inlineStr">
        <is>
          <t>LG전자</t>
        </is>
      </c>
      <c r="C22" s="24" t="inlineStr">
        <is>
          <t>LG전자 휘센 오브제컬렉션 DQ256MWGAS</t>
        </is>
      </c>
      <c r="D22" s="23" t="inlineStr">
        <is>
          <t>DQ256MWGAS</t>
        </is>
      </c>
      <c r="E22" s="23" t="inlineStr">
        <is>
          <t>25</t>
        </is>
      </c>
      <c r="F22" s="25" t="n">
        <v>777000</v>
      </c>
      <c r="G22" s="25" t="n">
        <v>777000</v>
      </c>
      <c r="H22" s="24" t="inlineStr">
        <is>
          <t>지엠디지털 네이버페이</t>
        </is>
      </c>
      <c r="I22" s="23" t="n">
        <v>171</v>
      </c>
      <c r="J22" s="24" t="inlineStr">
        <is>
          <t>https://search.danawa.com/dsearch.php?query=LG%20%ED%9C%98%EC%84%BC%20%EC%A0%9C%EC%8A%B5%EA%B8%B0</t>
        </is>
      </c>
      <c r="K22" s="23" t="inlineStr">
        <is>
          <t>건조케이스 세트 구성(본품 포함)</t>
        </is>
      </c>
    </row>
    <row r="23">
      <c r="A23" s="23" t="inlineStr">
        <is>
          <t>LG 휘센 제습기</t>
        </is>
      </c>
      <c r="B23" s="23" t="inlineStr">
        <is>
          <t>LG전자</t>
        </is>
      </c>
      <c r="C23" s="24" t="inlineStr">
        <is>
          <t>LG전자 휘센 오브제컬렉션 DQ256MEGA</t>
        </is>
      </c>
      <c r="D23" s="23" t="inlineStr">
        <is>
          <t>DQ256MEGA</t>
        </is>
      </c>
      <c r="E23" s="23" t="inlineStr">
        <is>
          <t>25</t>
        </is>
      </c>
      <c r="F23" s="25" t="n">
        <v>810940</v>
      </c>
      <c r="G23" s="25" t="n">
        <v>810940</v>
      </c>
      <c r="H23" s="24" t="inlineStr">
        <is>
          <t>11번가</t>
        </is>
      </c>
      <c r="I23" s="23" t="n">
        <v>213</v>
      </c>
      <c r="J23" s="24" t="inlineStr">
        <is>
          <t>https://search.danawa.com/dsearch.php?query=LG%20%ED%9C%98%EC%84%BC%20%EC%A0%9C%EC%8A%B5%EA%B8%B0</t>
        </is>
      </c>
      <c r="K23" s="23" t="inlineStr"/>
    </row>
    <row r="24">
      <c r="A24" s="23" t="inlineStr">
        <is>
          <t>LG 휘센 제습기</t>
        </is>
      </c>
      <c r="B24" s="23" t="inlineStr">
        <is>
          <t>LG전자</t>
        </is>
      </c>
      <c r="C24" s="24" t="inlineStr">
        <is>
          <t>LG전자 휘센 DQ132PWXC</t>
        </is>
      </c>
      <c r="D24" s="23" t="inlineStr">
        <is>
          <t>DQ132PWXC</t>
        </is>
      </c>
      <c r="E24" s="23" t="inlineStr">
        <is>
          <t>13</t>
        </is>
      </c>
      <c r="F24" s="25" t="n">
        <v>417130</v>
      </c>
      <c r="G24" s="25" t="n">
        <v>417130</v>
      </c>
      <c r="H24" s="24" t="inlineStr">
        <is>
          <t>SSG.COM</t>
        </is>
      </c>
      <c r="I24" s="23" t="n">
        <v>31</v>
      </c>
      <c r="J24" s="24" t="inlineStr">
        <is>
          <t>https://search.danawa.com/dsearch.php?query=LG%20%ED%9C%98%EC%84%BC%20%EC%A0%9C%EC%8A%B5%EA%B8%B0</t>
        </is>
      </c>
      <c r="K24" s="23" t="inlineStr">
        <is>
          <t>출시 '22.06</t>
        </is>
      </c>
    </row>
    <row r="25">
      <c r="A25" s="23" t="inlineStr">
        <is>
          <t>LG 휘센 제습기</t>
        </is>
      </c>
      <c r="B25" s="23" t="inlineStr">
        <is>
          <t>LG전자</t>
        </is>
      </c>
      <c r="C25" s="24" t="inlineStr">
        <is>
          <t>LG전자 휘센 DQ202PSUA</t>
        </is>
      </c>
      <c r="D25" s="23" t="inlineStr">
        <is>
          <t>DQ202PSUA</t>
        </is>
      </c>
      <c r="E25" s="23" t="inlineStr">
        <is>
          <t>20</t>
        </is>
      </c>
      <c r="F25" s="25" t="n">
        <v>429090</v>
      </c>
      <c r="G25" s="25" t="n">
        <v>429090</v>
      </c>
      <c r="H25" s="24" t="inlineStr">
        <is>
          <t>신세계라이브쇼핑</t>
        </is>
      </c>
      <c r="I25" s="23" t="n">
        <v>111</v>
      </c>
      <c r="J25" s="24" t="inlineStr">
        <is>
          <t>https://search.danawa.com/dsearch.php?query=LG%20%ED%9C%98%EC%84%BC%20%EC%A0%9C%EC%8A%B5%EA%B8%B0</t>
        </is>
      </c>
      <c r="K25" s="23" t="inlineStr"/>
    </row>
    <row r="26">
      <c r="A26" s="23" t="inlineStr">
        <is>
          <t>LG 휘센 제습기</t>
        </is>
      </c>
      <c r="B26" s="23" t="inlineStr">
        <is>
          <t>LG전자</t>
        </is>
      </c>
      <c r="C26" s="24" t="inlineStr">
        <is>
          <t>LG전자 휘센 DQ162PBBC</t>
        </is>
      </c>
      <c r="D26" s="23" t="inlineStr">
        <is>
          <t>DQ162PBBC</t>
        </is>
      </c>
      <c r="E26" s="23" t="inlineStr">
        <is>
          <t>16</t>
        </is>
      </c>
      <c r="F26" s="25" t="n">
        <v>459000</v>
      </c>
      <c r="G26" s="25" t="n">
        <v>459000</v>
      </c>
      <c r="H26" s="24" t="inlineStr">
        <is>
          <t>쿠팡</t>
        </is>
      </c>
      <c r="I26" s="23" t="n">
        <v>40</v>
      </c>
      <c r="J26" s="24" t="inlineStr">
        <is>
          <t>https://search.danawa.com/dsearch.php?query=LG%20%ED%9C%98%EC%84%BC%20%EC%A0%9C%EC%8A%B5%EA%B8%B0</t>
        </is>
      </c>
      <c r="K26" s="23" t="inlineStr">
        <is>
          <t>출시 '22.04</t>
        </is>
      </c>
    </row>
    <row r="27">
      <c r="A27" s="23" t="inlineStr">
        <is>
          <t>삼성 제습기</t>
        </is>
      </c>
      <c r="B27" s="23" t="inlineStr">
        <is>
          <t>삼성전자</t>
        </is>
      </c>
      <c r="C27" s="24" t="inlineStr">
        <is>
          <t>삼성전자 제습기 AY70H18100GVD</t>
        </is>
      </c>
      <c r="D27" s="23" t="inlineStr">
        <is>
          <t>AY70H18100GVD</t>
        </is>
      </c>
      <c r="E27" s="23" t="inlineStr">
        <is>
          <t>18</t>
        </is>
      </c>
      <c r="F27" s="25" t="n">
        <v>433340</v>
      </c>
      <c r="G27" s="25" t="n">
        <v>433340</v>
      </c>
      <c r="H27" s="24" t="inlineStr">
        <is>
          <t>11번가</t>
        </is>
      </c>
      <c r="I27" s="23" t="n">
        <v>291</v>
      </c>
      <c r="J27" s="24" t="inlineStr">
        <is>
          <t>https://search.danawa.com/dsearch.php?query=%EC%82%BC%EC%84%B1%20%EC%A0%9C%EC%8A%B5%EA%B8%B0</t>
        </is>
      </c>
      <c r="K27" s="23" t="inlineStr"/>
    </row>
    <row r="28">
      <c r="A28" s="23" t="inlineStr">
        <is>
          <t>삼성 제습기</t>
        </is>
      </c>
      <c r="B28" s="23" t="inlineStr">
        <is>
          <t>삼성전자</t>
        </is>
      </c>
      <c r="C28" s="24" t="inlineStr">
        <is>
          <t>삼성전자 제습기 AY70H18100GTD</t>
        </is>
      </c>
      <c r="D28" s="23" t="inlineStr">
        <is>
          <t>AY70H18100GTD</t>
        </is>
      </c>
      <c r="E28" s="23" t="inlineStr">
        <is>
          <t>18</t>
        </is>
      </c>
      <c r="F28" s="25" t="n">
        <v>419000</v>
      </c>
      <c r="G28" s="25" t="inlineStr"/>
      <c r="H28" s="24" t="inlineStr"/>
      <c r="I28" s="23" t="n">
        <v>1</v>
      </c>
      <c r="J28" s="24" t="inlineStr">
        <is>
          <t>https://search.danawa.com/dsearch.php?query=%EC%82%BC%EC%84%B1%20%EC%A0%9C%EC%8A%B5%EA%B8%B0</t>
        </is>
      </c>
      <c r="K28" s="23" t="inlineStr">
        <is>
          <t>판매처 1곳(빠른배송)</t>
        </is>
      </c>
    </row>
    <row r="29">
      <c r="A29" s="23" t="inlineStr">
        <is>
          <t>삼성 제습기</t>
        </is>
      </c>
      <c r="B29" s="23" t="inlineStr">
        <is>
          <t>삼성전자</t>
        </is>
      </c>
      <c r="C29" s="24" t="inlineStr">
        <is>
          <t>삼성전자 제습기 AY70H21100GTD</t>
        </is>
      </c>
      <c r="D29" s="23" t="inlineStr">
        <is>
          <t>AY70H21100GTD</t>
        </is>
      </c>
      <c r="E29" s="23" t="inlineStr">
        <is>
          <t>21</t>
        </is>
      </c>
      <c r="F29" s="25" t="n">
        <v>482920</v>
      </c>
      <c r="G29" s="25" t="n">
        <v>482920</v>
      </c>
      <c r="H29" s="24" t="inlineStr">
        <is>
          <t>G마켓</t>
        </is>
      </c>
      <c r="I29" s="23" t="n">
        <v>9</v>
      </c>
      <c r="J29" s="24" t="inlineStr">
        <is>
          <t>https://search.danawa.com/dsearch.php?query=%EC%82%BC%EC%84%B1%20%EC%A0%9C%EC%8A%B5%EA%B8%B0</t>
        </is>
      </c>
      <c r="K29" s="23" t="inlineStr"/>
    </row>
    <row r="30">
      <c r="A30" s="23" t="inlineStr">
        <is>
          <t>삼성 제습기</t>
        </is>
      </c>
      <c r="B30" s="23" t="inlineStr">
        <is>
          <t>삼성전자</t>
        </is>
      </c>
      <c r="C30" s="24" t="inlineStr">
        <is>
          <t>삼성전자 제습기 AY70H21100GVD</t>
        </is>
      </c>
      <c r="D30" s="23" t="inlineStr">
        <is>
          <t>AY70H21100GVD</t>
        </is>
      </c>
      <c r="E30" s="23" t="inlineStr">
        <is>
          <t>21</t>
        </is>
      </c>
      <c r="F30" s="25" t="n">
        <v>560180</v>
      </c>
      <c r="G30" s="25" t="inlineStr"/>
      <c r="H30" s="24" t="inlineStr"/>
      <c r="I30" s="23" t="n">
        <v>1</v>
      </c>
      <c r="J30" s="24" t="inlineStr">
        <is>
          <t>https://search.danawa.com/dsearch.php?query=%EC%82%BC%EC%84%B1%20%EC%A0%9C%EC%8A%B5%EA%B8%B0</t>
        </is>
      </c>
      <c r="K30" s="23" t="inlineStr">
        <is>
          <t>판매처 1곳(빠른배송)</t>
        </is>
      </c>
    </row>
    <row r="31">
      <c r="A31" s="23" t="inlineStr">
        <is>
          <t>삼성 제습기</t>
        </is>
      </c>
      <c r="B31" s="23" t="inlineStr">
        <is>
          <t>삼성전자</t>
        </is>
      </c>
      <c r="C31" s="24" t="inlineStr">
        <is>
          <t>삼성전자 제습기 AY70H23100GTD</t>
        </is>
      </c>
      <c r="D31" s="23" t="inlineStr">
        <is>
          <t>AY70H23100GTD</t>
        </is>
      </c>
      <c r="E31" s="23" t="inlineStr">
        <is>
          <t>23</t>
        </is>
      </c>
      <c r="F31" s="25" t="n">
        <v>779000</v>
      </c>
      <c r="G31" s="25" t="n">
        <v>779000</v>
      </c>
      <c r="H31" s="24" t="inlineStr">
        <is>
          <t>AI가전 네이버페이</t>
        </is>
      </c>
      <c r="I31" s="23" t="n">
        <v>5</v>
      </c>
      <c r="J31" s="24" t="inlineStr">
        <is>
          <t>https://search.danawa.com/dsearch.php?query=%EC%82%BC%EC%84%B1%20%EC%A0%9C%EC%8A%B5%EA%B8%B0</t>
        </is>
      </c>
      <c r="K31" s="23" t="inlineStr"/>
    </row>
    <row r="32">
      <c r="A32" s="23" t="inlineStr">
        <is>
          <t>삼성 제습기</t>
        </is>
      </c>
      <c r="B32" s="23" t="inlineStr">
        <is>
          <t>삼성전자</t>
        </is>
      </c>
      <c r="C32" s="24" t="inlineStr">
        <is>
          <t>삼성전자 제습기 AY70H23100GVD</t>
        </is>
      </c>
      <c r="D32" s="23" t="inlineStr">
        <is>
          <t>AY70H23100GVD</t>
        </is>
      </c>
      <c r="E32" s="23" t="inlineStr">
        <is>
          <t>23</t>
        </is>
      </c>
      <c r="F32" s="25" t="n">
        <v>694470</v>
      </c>
      <c r="G32" s="25" t="n">
        <v>694470</v>
      </c>
      <c r="H32" s="24" t="inlineStr">
        <is>
          <t>G마켓</t>
        </is>
      </c>
      <c r="I32" s="23" t="n">
        <v>5</v>
      </c>
      <c r="J32" s="24" t="inlineStr">
        <is>
          <t>https://search.danawa.com/dsearch.php?query=%EC%82%BC%EC%84%B1%20%EC%A0%9C%EC%8A%B5%EA%B8%B0</t>
        </is>
      </c>
      <c r="K32" s="23" t="inlineStr"/>
    </row>
    <row r="33">
      <c r="A33" s="23" t="inlineStr">
        <is>
          <t>삼성 제습기</t>
        </is>
      </c>
      <c r="B33" s="23" t="inlineStr">
        <is>
          <t>삼성전자</t>
        </is>
      </c>
      <c r="C33" s="24" t="inlineStr">
        <is>
          <t>삼성전자 제습기 AY18CG7500GED</t>
        </is>
      </c>
      <c r="D33" s="23" t="inlineStr">
        <is>
          <t>AY18CG7500GED</t>
        </is>
      </c>
      <c r="E33" s="23" t="inlineStr">
        <is>
          <t>18</t>
        </is>
      </c>
      <c r="F33" s="25" t="n">
        <v>429380</v>
      </c>
      <c r="G33" s="25" t="n">
        <v>438531</v>
      </c>
      <c r="H33" s="24" t="inlineStr">
        <is>
          <t>SSG.COM</t>
        </is>
      </c>
      <c r="I33" s="23" t="n">
        <v>111</v>
      </c>
      <c r="J33" s="24" t="inlineStr">
        <is>
          <t>https://search.danawa.com/dsearch.php?query=%EC%82%BC%EC%84%B1%20%EC%A0%9C%EC%8A%B5%EA%B8%B0</t>
        </is>
      </c>
      <c r="K33" s="23" t="inlineStr">
        <is>
          <t>베이지색</t>
        </is>
      </c>
    </row>
    <row r="34">
      <c r="A34" s="23" t="inlineStr">
        <is>
          <t>삼성 제습기</t>
        </is>
      </c>
      <c r="B34" s="23" t="inlineStr">
        <is>
          <t>삼성전자</t>
        </is>
      </c>
      <c r="C34" s="24" t="inlineStr">
        <is>
          <t>삼성전자 제습기 AY18BG7500GBD</t>
        </is>
      </c>
      <c r="D34" s="23" t="inlineStr">
        <is>
          <t>AY18BG7500GBD</t>
        </is>
      </c>
      <c r="E34" s="23" t="inlineStr">
        <is>
          <t>18</t>
        </is>
      </c>
      <c r="F34" s="25" t="n">
        <v>506120</v>
      </c>
      <c r="G34" s="25" t="n">
        <v>506120</v>
      </c>
      <c r="H34" s="24" t="inlineStr">
        <is>
          <t>11번가</t>
        </is>
      </c>
      <c r="I34" s="23" t="n">
        <v>41</v>
      </c>
      <c r="J34" s="24" t="inlineStr">
        <is>
          <t>https://search.danawa.com/dsearch.php?query=%EC%82%BC%EC%84%B1%20%EC%A0%9C%EC%8A%B5%EA%B8%B0</t>
        </is>
      </c>
      <c r="K34" s="23" t="inlineStr"/>
    </row>
    <row r="35">
      <c r="A35" s="23" t="inlineStr">
        <is>
          <t>위니아 제습기</t>
        </is>
      </c>
      <c r="B35" s="23" t="inlineStr">
        <is>
          <t>위니아</t>
        </is>
      </c>
      <c r="C35" s="24" t="inlineStr">
        <is>
          <t>위니아 제습기 EDH10HNW(A)</t>
        </is>
      </c>
      <c r="D35" s="23" t="inlineStr">
        <is>
          <t>EDH10HNW(A)</t>
        </is>
      </c>
      <c r="E35" s="23" t="inlineStr">
        <is>
          <t>10</t>
        </is>
      </c>
      <c r="F35" s="25" t="n">
        <v>198990</v>
      </c>
      <c r="G35" s="25" t="n">
        <v>198990</v>
      </c>
      <c r="H35" s="24" t="inlineStr">
        <is>
          <t>롯데ON</t>
        </is>
      </c>
      <c r="I35" s="23" t="n">
        <v>54</v>
      </c>
      <c r="J35" s="24" t="inlineStr">
        <is>
          <t>https://search.danawa.com/dsearch.php?query=%EC%9C%84%EB%8B%88%EC%95%84%20%EC%A0%9C%EC%8A%B5%EA%B8%B0</t>
        </is>
      </c>
      <c r="K35" s="23" t="inlineStr"/>
    </row>
    <row r="36">
      <c r="A36" s="23" t="inlineStr">
        <is>
          <t>위니아 제습기</t>
        </is>
      </c>
      <c r="B36" s="23" t="inlineStr">
        <is>
          <t>위니아</t>
        </is>
      </c>
      <c r="C36" s="24" t="inlineStr">
        <is>
          <t>위니아 제습기 DCE118SWJ(A)</t>
        </is>
      </c>
      <c r="D36" s="23" t="inlineStr">
        <is>
          <t>DCE118SWJ(A)</t>
        </is>
      </c>
      <c r="E36" s="23" t="inlineStr">
        <is>
          <t>17</t>
        </is>
      </c>
      <c r="F36" s="25" t="n">
        <v>223100</v>
      </c>
      <c r="G36" s="25" t="n">
        <v>223100</v>
      </c>
      <c r="H36" s="24" t="inlineStr">
        <is>
          <t>11번가</t>
        </is>
      </c>
      <c r="I36" s="23" t="n">
        <v>21</v>
      </c>
      <c r="J36" s="24" t="inlineStr">
        <is>
          <t>https://search.danawa.com/dsearch.php?query=%EC%9C%84%EB%8B%88%EC%95%84%20%EC%A0%9C%EC%8A%B5%EA%B8%B0</t>
        </is>
      </c>
      <c r="K36" s="23" t="inlineStr"/>
    </row>
    <row r="37">
      <c r="A37" s="23" t="inlineStr">
        <is>
          <t>위니아 제습기</t>
        </is>
      </c>
      <c r="B37" s="23" t="inlineStr">
        <is>
          <t>위니아</t>
        </is>
      </c>
      <c r="C37" s="24" t="inlineStr">
        <is>
          <t>위니아 제습기 LDH18CFBD</t>
        </is>
      </c>
      <c r="D37" s="23" t="inlineStr">
        <is>
          <t>LDH18CFBD</t>
        </is>
      </c>
      <c r="E37" s="23" t="inlineStr">
        <is>
          <t>18</t>
        </is>
      </c>
      <c r="F37" s="25" t="n">
        <v>682440</v>
      </c>
      <c r="G37" s="25" t="inlineStr"/>
      <c r="H37" s="24" t="inlineStr"/>
      <c r="I37" s="23" t="n">
        <v>1</v>
      </c>
      <c r="J37" s="24" t="inlineStr">
        <is>
          <t>https://search.danawa.com/dsearch.php?query=%EC%9C%84%EB%8B%88%EC%95%84%20%EC%A0%9C%EC%8A%B5%EA%B8%B0</t>
        </is>
      </c>
      <c r="K37" s="23" t="inlineStr">
        <is>
          <t>판매처 1곳(단종/재고소진 의심)</t>
        </is>
      </c>
    </row>
    <row r="38">
      <c r="A38" s="23" t="inlineStr">
        <is>
          <t>위니아 제습기</t>
        </is>
      </c>
      <c r="B38" s="23" t="inlineStr">
        <is>
          <t>위니아</t>
        </is>
      </c>
      <c r="C38" s="24" t="inlineStr">
        <is>
          <t>위니아 제습기 WDH18CFW</t>
        </is>
      </c>
      <c r="D38" s="23" t="inlineStr">
        <is>
          <t>WDH18CFW</t>
        </is>
      </c>
      <c r="E38" s="23" t="inlineStr">
        <is>
          <t>18</t>
        </is>
      </c>
      <c r="F38" s="25" t="n">
        <v>407550</v>
      </c>
      <c r="G38" s="25" t="inlineStr"/>
      <c r="H38" s="24" t="inlineStr"/>
      <c r="I38" s="23" t="n">
        <v>1</v>
      </c>
      <c r="J38" s="24" t="inlineStr">
        <is>
          <t>https://search.danawa.com/dsearch.php?query=%EC%9C%84%EB%8B%88%EC%95%84%20%EC%A0%9C%EC%8A%B5%EA%B8%B0</t>
        </is>
      </c>
      <c r="K38" s="23" t="inlineStr">
        <is>
          <t>판매처 1곳(단종/재고소진 의심)</t>
        </is>
      </c>
    </row>
    <row r="39">
      <c r="A39" s="23" t="inlineStr">
        <is>
          <t>쿠쿠 제습기</t>
        </is>
      </c>
      <c r="B39" s="23" t="inlineStr">
        <is>
          <t>쿠쿠</t>
        </is>
      </c>
      <c r="C39" s="24" t="inlineStr">
        <is>
          <t>쿠쿠 인스퓨어 DH-V06201EB</t>
        </is>
      </c>
      <c r="D39" s="23" t="inlineStr">
        <is>
          <t>DH-V06201EB</t>
        </is>
      </c>
      <c r="E39" s="23" t="inlineStr">
        <is>
          <t>5.5</t>
        </is>
      </c>
      <c r="F39" s="25" t="n">
        <v>127300</v>
      </c>
      <c r="G39" s="25" t="n">
        <v>127300</v>
      </c>
      <c r="H39" s="24" t="inlineStr">
        <is>
          <t>쿠팡</t>
        </is>
      </c>
      <c r="I39" s="23" t="n">
        <v>162</v>
      </c>
      <c r="J39" s="24" t="inlineStr">
        <is>
          <t>https://search.danawa.com/dsearch.php?query=%EC%BF%A0%EC%BF%A0%20%EC%A0%9C%EC%8A%B5%EA%B8%B0</t>
        </is>
      </c>
      <c r="K39" s="23" t="inlineStr"/>
    </row>
    <row r="40">
      <c r="A40" s="23" t="inlineStr">
        <is>
          <t>쿠쿠 제습기</t>
        </is>
      </c>
      <c r="B40" s="23" t="inlineStr">
        <is>
          <t>쿠쿠</t>
        </is>
      </c>
      <c r="C40" s="24" t="inlineStr">
        <is>
          <t>쿠쿠 인스퓨어 DH-YNL1652FEB</t>
        </is>
      </c>
      <c r="D40" s="23" t="inlineStr">
        <is>
          <t>DH-YNL1652FEB</t>
        </is>
      </c>
      <c r="E40" s="23" t="inlineStr">
        <is>
          <t>16</t>
        </is>
      </c>
      <c r="F40" s="25" t="n">
        <v>248400</v>
      </c>
      <c r="G40" s="25" t="inlineStr"/>
      <c r="H40" s="24" t="inlineStr"/>
      <c r="I40" s="23" t="n">
        <v>1</v>
      </c>
      <c r="J40" s="24" t="inlineStr">
        <is>
          <t>https://search.danawa.com/dsearch.php?query=%EC%BF%A0%EC%BF%A0%20%EC%A0%9C%EC%8A%B5%EA%B8%B0</t>
        </is>
      </c>
      <c r="K40" s="23" t="inlineStr">
        <is>
          <t>판매처 1곳으로 품절/단종 의심</t>
        </is>
      </c>
    </row>
    <row r="41">
      <c r="A41" s="23" t="inlineStr">
        <is>
          <t>쿠쿠 제습기</t>
        </is>
      </c>
      <c r="B41" s="23" t="inlineStr">
        <is>
          <t>쿠쿠</t>
        </is>
      </c>
      <c r="C41" s="24" t="inlineStr">
        <is>
          <t>쿠쿠 인스퓨어 DH-X22721EB</t>
        </is>
      </c>
      <c r="D41" s="23" t="inlineStr">
        <is>
          <t>DH-X22721EB</t>
        </is>
      </c>
      <c r="E41" s="23" t="inlineStr">
        <is>
          <t>21.7</t>
        </is>
      </c>
      <c r="F41" s="25" t="n">
        <v>406990</v>
      </c>
      <c r="G41" s="25" t="n">
        <v>406990</v>
      </c>
      <c r="H41" s="24" t="inlineStr">
        <is>
          <t>11번가</t>
        </is>
      </c>
      <c r="I41" s="23" t="n">
        <v>25</v>
      </c>
      <c r="J41" s="24" t="inlineStr">
        <is>
          <t>https://search.danawa.com/dsearch.php?query=%EC%BF%A0%EC%BF%A0%20%EC%A0%9C%EC%8A%B5%EA%B8%B0</t>
        </is>
      </c>
      <c r="K41" s="23" t="inlineStr"/>
    </row>
    <row r="42">
      <c r="A42" s="23" t="inlineStr">
        <is>
          <t>쿠쿠 제습기</t>
        </is>
      </c>
      <c r="B42" s="23" t="inlineStr">
        <is>
          <t>쿠쿠</t>
        </is>
      </c>
      <c r="C42" s="24" t="inlineStr">
        <is>
          <t>쿠쿠 인스퓨어 DH-Y1652FNW</t>
        </is>
      </c>
      <c r="D42" s="23" t="inlineStr">
        <is>
          <t>DH-Y1652FNW</t>
        </is>
      </c>
      <c r="E42" s="23" t="inlineStr">
        <is>
          <t>16</t>
        </is>
      </c>
      <c r="F42" s="25" t="n">
        <v>240000</v>
      </c>
      <c r="G42" s="25" t="n">
        <v>240000</v>
      </c>
      <c r="H42" s="24" t="inlineStr">
        <is>
          <t>쿠쿠몰</t>
        </is>
      </c>
      <c r="I42" s="23" t="n">
        <v>56</v>
      </c>
      <c r="J42" s="24" t="inlineStr">
        <is>
          <t>https://search.danawa.com/dsearch.php?query=%EC%BF%A0%EC%BF%A0%20%EC%A0%9C%EC%8A%B5%EA%B8%B0</t>
        </is>
      </c>
      <c r="K42" s="23" t="inlineStr"/>
    </row>
    <row r="43">
      <c r="A43" s="23" t="inlineStr">
        <is>
          <t>쿠쿠 제습기</t>
        </is>
      </c>
      <c r="B43" s="23" t="inlineStr">
        <is>
          <t>쿠쿠</t>
        </is>
      </c>
      <c r="C43" s="24" t="inlineStr">
        <is>
          <t>쿠쿠 인스퓨어 공기청정 DH-16ZH45FG</t>
        </is>
      </c>
      <c r="D43" s="23" t="inlineStr">
        <is>
          <t>DH-16ZH45FG</t>
        </is>
      </c>
      <c r="E43" s="23" t="inlineStr">
        <is>
          <t>16</t>
        </is>
      </c>
      <c r="F43" s="25" t="n">
        <v>497500</v>
      </c>
      <c r="G43" s="25" t="n">
        <v>497500</v>
      </c>
      <c r="H43" s="24" t="inlineStr">
        <is>
          <t>11번가</t>
        </is>
      </c>
      <c r="I43" s="23" t="n">
        <v>3</v>
      </c>
      <c r="J43" s="24" t="inlineStr">
        <is>
          <t>https://search.danawa.com/dsearch.php?query=%EC%BF%A0%EC%BF%A0%20%EC%A0%9C%EC%8A%B5%EA%B8%B0</t>
        </is>
      </c>
      <c r="K43" s="23" t="inlineStr">
        <is>
          <t>판매처 3곳, 구형 모델</t>
        </is>
      </c>
    </row>
    <row r="44">
      <c r="A44" s="23" t="inlineStr">
        <is>
          <t>쿠쿠 제습기</t>
        </is>
      </c>
      <c r="B44" s="23" t="inlineStr">
        <is>
          <t>쿠쿠</t>
        </is>
      </c>
      <c r="C44" s="24" t="inlineStr">
        <is>
          <t>쿠쿠 CDH-1645FW</t>
        </is>
      </c>
      <c r="D44" s="23" t="inlineStr">
        <is>
          <t>CDH-1645FW</t>
        </is>
      </c>
      <c r="E44" s="23" t="inlineStr">
        <is>
          <t>15.1</t>
        </is>
      </c>
      <c r="F44" s="25" t="n">
        <v>640280</v>
      </c>
      <c r="G44" s="25" t="inlineStr"/>
      <c r="H44" s="24" t="inlineStr"/>
      <c r="I44" s="23" t="n">
        <v>2</v>
      </c>
      <c r="J44" s="24" t="inlineStr">
        <is>
          <t>https://search.danawa.com/dsearch.php?query=%EC%BF%A0%EC%BF%A0%20%EC%A0%9C%EC%8A%B5%EA%B8%B0</t>
        </is>
      </c>
      <c r="K44" s="23" t="inlineStr">
        <is>
          <t>2014년 구형, 판매처 2곳으로 단종 의심</t>
        </is>
      </c>
    </row>
    <row r="45">
      <c r="A45" s="23" t="inlineStr">
        <is>
          <t>쿠쿠 제습기</t>
        </is>
      </c>
      <c r="B45" s="23" t="inlineStr">
        <is>
          <t>쿠쿠</t>
        </is>
      </c>
      <c r="C45" s="24" t="inlineStr">
        <is>
          <t>쿠쿠 인스퓨어 DH-Z1645FW</t>
        </is>
      </c>
      <c r="D45" s="23" t="inlineStr">
        <is>
          <t>DH-Z1645FW</t>
        </is>
      </c>
      <c r="E45" s="23" t="inlineStr">
        <is>
          <t>16.5</t>
        </is>
      </c>
      <c r="F45" s="25" t="n">
        <v>635200</v>
      </c>
      <c r="G45" s="25" t="inlineStr"/>
      <c r="H45" s="24" t="inlineStr"/>
      <c r="I45" s="23" t="n">
        <v>1</v>
      </c>
      <c r="J45" s="24" t="inlineStr">
        <is>
          <t>https://search.danawa.com/dsearch.php?query=%EC%BF%A0%EC%BF%A0%20%EC%A0%9C%EC%8A%B5%EA%B8%B0</t>
        </is>
      </c>
      <c r="K45" s="23" t="inlineStr">
        <is>
          <t>판매처 1곳으로 품절/단종 의심</t>
        </is>
      </c>
    </row>
    <row r="46">
      <c r="A46" s="23" t="inlineStr">
        <is>
          <t>신일 제습기</t>
        </is>
      </c>
      <c r="B46" s="23" t="inlineStr">
        <is>
          <t>신일</t>
        </is>
      </c>
      <c r="C46" s="24" t="inlineStr">
        <is>
          <t>신일전자 SDH-PM230</t>
        </is>
      </c>
      <c r="D46" s="23" t="inlineStr">
        <is>
          <t>SDH-PM230</t>
        </is>
      </c>
      <c r="E46" s="23" t="inlineStr">
        <is>
          <t>17</t>
        </is>
      </c>
      <c r="F46" s="25" t="n">
        <v>215280</v>
      </c>
      <c r="G46" s="25" t="n">
        <v>215280</v>
      </c>
      <c r="H46" s="24" t="inlineStr">
        <is>
          <t>옥션</t>
        </is>
      </c>
      <c r="I46" s="23" t="n">
        <v>91</v>
      </c>
      <c r="J46" s="24" t="inlineStr">
        <is>
          <t>https://search.danawa.com/dsearch.php?query=%EC%8B%A0%EC%9D%BC%20%EC%A0%9C%EC%8A%B5%EA%B8%B0</t>
        </is>
      </c>
      <c r="K46" s="23" t="inlineStr"/>
    </row>
    <row r="47">
      <c r="A47" s="23" t="inlineStr">
        <is>
          <t>신일 제습기</t>
        </is>
      </c>
      <c r="B47" s="23" t="inlineStr">
        <is>
          <t>신일</t>
        </is>
      </c>
      <c r="C47" s="24" t="inlineStr">
        <is>
          <t>신일전자 SDH-S167IM</t>
        </is>
      </c>
      <c r="D47" s="23" t="inlineStr">
        <is>
          <t>SDH-S167IM</t>
        </is>
      </c>
      <c r="E47" s="23" t="inlineStr">
        <is>
          <t>7.9</t>
        </is>
      </c>
      <c r="F47" s="25" t="n">
        <v>169000</v>
      </c>
      <c r="G47" s="25" t="inlineStr"/>
      <c r="H47" s="24" t="inlineStr"/>
      <c r="I47" s="23" t="n">
        <v>1</v>
      </c>
      <c r="J47" s="24" t="inlineStr">
        <is>
          <t>https://search.danawa.com/dsearch.php?query=%EC%8B%A0%EC%9D%BC%20%EC%A0%9C%EC%8A%B5%EA%B8%B0</t>
        </is>
      </c>
      <c r="K47" s="23" t="inlineStr">
        <is>
          <t>판매처 1곳 — 품절/단종 의심</t>
        </is>
      </c>
    </row>
    <row r="48">
      <c r="A48" s="23" t="inlineStr">
        <is>
          <t>신일 제습기</t>
        </is>
      </c>
      <c r="B48" s="23" t="inlineStr">
        <is>
          <t>신일</t>
        </is>
      </c>
      <c r="C48" s="24" t="inlineStr">
        <is>
          <t>신일전자 SDH-WIN326KP</t>
        </is>
      </c>
      <c r="D48" s="23" t="inlineStr">
        <is>
          <t>SDH-WIN326KP</t>
        </is>
      </c>
      <c r="E48" s="23" t="inlineStr">
        <is>
          <t>0.102</t>
        </is>
      </c>
      <c r="F48" s="25" t="n">
        <v>69540</v>
      </c>
      <c r="G48" s="25" t="n">
        <v>69540</v>
      </c>
      <c r="H48" s="24" t="inlineStr">
        <is>
          <t>옥션</t>
        </is>
      </c>
      <c r="I48" s="23" t="n">
        <v>199</v>
      </c>
      <c r="J48" s="24" t="inlineStr">
        <is>
          <t>https://search.danawa.com/dsearch.php?query=%EC%8B%A0%EC%9D%BC%20%EC%A0%9C%EC%8A%B5%EA%B8%B0</t>
        </is>
      </c>
      <c r="K48" s="23" t="inlineStr">
        <is>
          <t>제습량 매우 소형(미니형)</t>
        </is>
      </c>
    </row>
    <row r="49">
      <c r="A49" s="23" t="inlineStr">
        <is>
          <t>신일 제습기</t>
        </is>
      </c>
      <c r="B49" s="23" t="inlineStr">
        <is>
          <t>신일</t>
        </is>
      </c>
      <c r="C49" s="24" t="inlineStr">
        <is>
          <t>신일전자 SDH-BPM600</t>
        </is>
      </c>
      <c r="D49" s="23" t="inlineStr">
        <is>
          <t>SDH-BPM600</t>
        </is>
      </c>
      <c r="E49" s="23" t="inlineStr">
        <is>
          <t>60</t>
        </is>
      </c>
      <c r="F49" s="25" t="n">
        <v>578470</v>
      </c>
      <c r="G49" s="25" t="n">
        <v>578470</v>
      </c>
      <c r="H49" s="24" t="inlineStr">
        <is>
          <t>11번가</t>
        </is>
      </c>
      <c r="I49" s="23" t="n">
        <v>61</v>
      </c>
      <c r="J49" s="24" t="inlineStr">
        <is>
          <t>https://search.danawa.com/dsearch.php?query=%EC%8B%A0%EC%9D%BC%20%EC%A0%9C%EC%8A%B5%EA%B8%B0</t>
        </is>
      </c>
      <c r="K49" s="23" t="inlineStr"/>
    </row>
    <row r="50">
      <c r="A50" s="23" t="inlineStr">
        <is>
          <t>신일 제습기</t>
        </is>
      </c>
      <c r="B50" s="23" t="inlineStr">
        <is>
          <t>신일</t>
        </is>
      </c>
      <c r="C50" s="24" t="inlineStr">
        <is>
          <t>신일전자 SDH-C06SS</t>
        </is>
      </c>
      <c r="D50" s="23" t="inlineStr">
        <is>
          <t>SDH-C06SS</t>
        </is>
      </c>
      <c r="E50" s="23" t="inlineStr">
        <is>
          <t>6</t>
        </is>
      </c>
      <c r="F50" s="25" t="n">
        <v>151050</v>
      </c>
      <c r="G50" s="25" t="n">
        <v>151050</v>
      </c>
      <c r="H50" s="24" t="inlineStr">
        <is>
          <t>쿠팡</t>
        </is>
      </c>
      <c r="I50" s="23" t="n">
        <v>150</v>
      </c>
      <c r="J50" s="24" t="inlineStr">
        <is>
          <t>https://search.danawa.com/dsearch.php?query=%EC%8B%A0%EC%9D%BC%20%EC%A0%9C%EC%8A%B5%EA%B8%B0</t>
        </is>
      </c>
      <c r="K50" s="23" t="inlineStr"/>
    </row>
    <row r="51">
      <c r="A51" s="23" t="inlineStr">
        <is>
          <t>신일 제습기</t>
        </is>
      </c>
      <c r="B51" s="23" t="inlineStr">
        <is>
          <t>신일</t>
        </is>
      </c>
      <c r="C51" s="24" t="inlineStr">
        <is>
          <t>신일전자 SDH-SD19ERE</t>
        </is>
      </c>
      <c r="D51" s="23" t="inlineStr">
        <is>
          <t>SDH-SD19ERE</t>
        </is>
      </c>
      <c r="E51" s="23" t="inlineStr">
        <is>
          <t>18</t>
        </is>
      </c>
      <c r="F51" s="25" t="n">
        <v>298000</v>
      </c>
      <c r="G51" s="25" t="n">
        <v>298000</v>
      </c>
      <c r="H51" s="24" t="inlineStr">
        <is>
          <t>ohda 네이버페이</t>
        </is>
      </c>
      <c r="I51" s="23" t="n">
        <v>189</v>
      </c>
      <c r="J51" s="24" t="inlineStr">
        <is>
          <t>https://search.danawa.com/dsearch.php?query=%EC%8B%A0%EC%9D%BC%20%EC%A0%9C%EC%8A%B5%EA%B8%B0</t>
        </is>
      </c>
      <c r="K51" s="23" t="inlineStr"/>
    </row>
    <row r="52">
      <c r="A52" s="23" t="inlineStr">
        <is>
          <t>신일 제습기</t>
        </is>
      </c>
      <c r="B52" s="23" t="inlineStr">
        <is>
          <t>신일</t>
        </is>
      </c>
      <c r="C52" s="24" t="inlineStr">
        <is>
          <t>신일전자 SDH-170SS</t>
        </is>
      </c>
      <c r="D52" s="23" t="inlineStr">
        <is>
          <t>SDH-170SS</t>
        </is>
      </c>
      <c r="E52" s="23" t="inlineStr">
        <is>
          <t>17</t>
        </is>
      </c>
      <c r="F52" s="25" t="n">
        <v>238930</v>
      </c>
      <c r="G52" s="25" t="n">
        <v>238930</v>
      </c>
      <c r="H52" s="24" t="inlineStr">
        <is>
          <t>쿠팡</t>
        </is>
      </c>
      <c r="I52" s="23" t="n">
        <v>188</v>
      </c>
      <c r="J52" s="24" t="inlineStr">
        <is>
          <t>https://search.danawa.com/dsearch.php?query=%EC%8B%A0%EC%9D%BC%20%EC%A0%9C%EC%8A%B5%EA%B8%B0</t>
        </is>
      </c>
      <c r="K52" s="23" t="inlineStr"/>
    </row>
    <row r="53">
      <c r="A53" s="23" t="inlineStr">
        <is>
          <t>신일 제습기</t>
        </is>
      </c>
      <c r="B53" s="23" t="inlineStr">
        <is>
          <t>신일</t>
        </is>
      </c>
      <c r="C53" s="24" t="inlineStr">
        <is>
          <t>신일전자 SDH-S530IF</t>
        </is>
      </c>
      <c r="D53" s="23" t="inlineStr">
        <is>
          <t>SDH-S530IF</t>
        </is>
      </c>
      <c r="E53" s="23" t="inlineStr">
        <is>
          <t>12</t>
        </is>
      </c>
      <c r="F53" s="25" t="n">
        <v>218400</v>
      </c>
      <c r="G53" s="25" t="inlineStr"/>
      <c r="H53" s="24" t="inlineStr"/>
      <c r="I53" s="23" t="n">
        <v>1</v>
      </c>
      <c r="J53" s="24" t="inlineStr">
        <is>
          <t>https://search.danawa.com/dsearch.php?query=%EC%8B%A0%EC%9D%BC%20%EC%A0%9C%EC%8A%B5%EA%B8%B0</t>
        </is>
      </c>
      <c r="K53" s="23" t="inlineStr">
        <is>
          <t>판매처 1곳 — 신제품/품절 의심</t>
        </is>
      </c>
    </row>
    <row r="54">
      <c r="A54" s="23" t="inlineStr">
        <is>
          <t>캐리어 16L 제습기</t>
        </is>
      </c>
      <c r="B54" s="23" t="inlineStr">
        <is>
          <t>캐리어</t>
        </is>
      </c>
      <c r="C54" s="24" t="inlineStr">
        <is>
          <t>캐리어 YCDHM-C016LROW</t>
        </is>
      </c>
      <c r="D54" s="23" t="inlineStr">
        <is>
          <t>YCDHM-C016LROW</t>
        </is>
      </c>
      <c r="E54" s="23" t="inlineStr">
        <is>
          <t>16</t>
        </is>
      </c>
      <c r="F54" s="25" t="n">
        <v>186460</v>
      </c>
      <c r="G54" s="25" t="n">
        <v>186460</v>
      </c>
      <c r="H54" s="24" t="inlineStr">
        <is>
          <t>11번가</t>
        </is>
      </c>
      <c r="I54" s="23" t="n">
        <v>65</v>
      </c>
      <c r="J54" s="24" t="inlineStr">
        <is>
          <t>https://search.danawa.com/dsearch.php?query=%EC%BA%90%EB%A6%AC%EC%96%B4%20%EC%A0%9C%EC%8A%B5%EA%B8%B0%2016L</t>
        </is>
      </c>
      <c r="K54" s="23" t="inlineStr"/>
    </row>
    <row r="55">
      <c r="A55" s="23" t="inlineStr">
        <is>
          <t>캐리어 16L 제습기</t>
        </is>
      </c>
      <c r="B55" s="23" t="inlineStr">
        <is>
          <t>캐리어</t>
        </is>
      </c>
      <c r="C55" s="24" t="inlineStr">
        <is>
          <t>캐리어 CDHC-160AYLLOYH</t>
        </is>
      </c>
      <c r="D55" s="23" t="inlineStr">
        <is>
          <t>CDHC-160AYLLOYH</t>
        </is>
      </c>
      <c r="E55" s="23" t="inlineStr">
        <is>
          <t>16</t>
        </is>
      </c>
      <c r="F55" s="25" t="n">
        <v>246000</v>
      </c>
      <c r="G55" s="25" t="n">
        <v>246000</v>
      </c>
      <c r="H55" s="24" t="inlineStr">
        <is>
          <t>11번가</t>
        </is>
      </c>
      <c r="I55" s="23" t="n">
        <v>71</v>
      </c>
      <c r="J55" s="24" t="inlineStr">
        <is>
          <t>https://search.danawa.com/dsearch.php?query=%EC%BA%90%EB%A6%AC%EC%96%B4%20%EC%A0%9C%EC%8A%B5%EA%B8%B0%2016L</t>
        </is>
      </c>
      <c r="K55" s="23" t="inlineStr"/>
    </row>
    <row r="56">
      <c r="A56" s="23" t="inlineStr">
        <is>
          <t>캐리어 16L 제습기</t>
        </is>
      </c>
      <c r="B56" s="23" t="inlineStr">
        <is>
          <t>캐리어</t>
        </is>
      </c>
      <c r="C56" s="24" t="inlineStr">
        <is>
          <t>캐리어 CDHC-160AYLWWYH</t>
        </is>
      </c>
      <c r="D56" s="23" t="inlineStr">
        <is>
          <t>CDHC-160AYLWWYH</t>
        </is>
      </c>
      <c r="E56" s="23" t="inlineStr">
        <is>
          <t>16</t>
        </is>
      </c>
      <c r="F56" s="25" t="n">
        <v>234983</v>
      </c>
      <c r="G56" s="25" t="n">
        <v>234983</v>
      </c>
      <c r="H56" s="24" t="inlineStr">
        <is>
          <t>SSG.COM</t>
        </is>
      </c>
      <c r="I56" s="23" t="n">
        <v>86</v>
      </c>
      <c r="J56" s="24" t="inlineStr">
        <is>
          <t>https://search.danawa.com/dsearch.php?query=%EC%BA%90%EB%A6%AC%EC%96%B4%20%EC%A0%9C%EC%8A%B5%EA%B8%B0%2016L</t>
        </is>
      </c>
      <c r="K56" s="23" t="inlineStr"/>
    </row>
    <row r="57">
      <c r="A57" s="23" t="inlineStr">
        <is>
          <t>캐리어 16L 제습기</t>
        </is>
      </c>
      <c r="B57" s="23" t="inlineStr">
        <is>
          <t>캐리어</t>
        </is>
      </c>
      <c r="C57" s="24" t="inlineStr">
        <is>
          <t>캐리어 클라윈드 CDHC-160AAMWOYH</t>
        </is>
      </c>
      <c r="D57" s="23" t="inlineStr">
        <is>
          <t>CDHC-160AAMWOYH</t>
        </is>
      </c>
      <c r="E57" s="23" t="inlineStr">
        <is>
          <t>16</t>
        </is>
      </c>
      <c r="F57" s="25" t="n">
        <v>201300</v>
      </c>
      <c r="G57" s="25" t="n">
        <v>201300</v>
      </c>
      <c r="H57" s="24" t="inlineStr">
        <is>
          <t>옥션</t>
        </is>
      </c>
      <c r="I57" s="23" t="n">
        <v>44</v>
      </c>
      <c r="J57" s="24" t="inlineStr">
        <is>
          <t>https://search.danawa.com/dsearch.php?query=%EC%BA%90%EB%A6%AC%EC%96%B4%20%EC%A0%9C%EC%8A%B5%EA%B8%B0%2016L</t>
        </is>
      </c>
      <c r="K57" s="23" t="inlineStr"/>
    </row>
    <row r="58">
      <c r="A58" s="23" t="inlineStr">
        <is>
          <t>캐리어 16L 제습기</t>
        </is>
      </c>
      <c r="B58" s="23" t="inlineStr">
        <is>
          <t>캐리어</t>
        </is>
      </c>
      <c r="C58" s="24" t="inlineStr">
        <is>
          <t>캐리어 YCDHM-C016LRAW</t>
        </is>
      </c>
      <c r="D58" s="23" t="inlineStr">
        <is>
          <t>YCDHM-C016LRAW</t>
        </is>
      </c>
      <c r="E58" s="23" t="inlineStr">
        <is>
          <t>16</t>
        </is>
      </c>
      <c r="F58" s="25" t="n">
        <v>187480</v>
      </c>
      <c r="G58" s="25" t="n">
        <v>187480</v>
      </c>
      <c r="H58" s="24" t="inlineStr">
        <is>
          <t>11번가</t>
        </is>
      </c>
      <c r="I58" s="23" t="n">
        <v>104</v>
      </c>
      <c r="J58" s="24" t="inlineStr">
        <is>
          <t>https://search.danawa.com/dsearch.php?query=%EC%BA%90%EB%A6%AC%EC%96%B4%20%EC%A0%9C%EC%8A%B5%EA%B8%B0%2016L</t>
        </is>
      </c>
      <c r="K58" s="23" t="inlineStr"/>
    </row>
    <row r="59">
      <c r="A59" s="23" t="inlineStr">
        <is>
          <t>캐리어 16L 제습기</t>
        </is>
      </c>
      <c r="B59" s="23" t="inlineStr">
        <is>
          <t>캐리어</t>
        </is>
      </c>
      <c r="C59" s="24" t="inlineStr">
        <is>
          <t>캐리어 CDHC-160AYLLYYH</t>
        </is>
      </c>
      <c r="D59" s="23" t="inlineStr">
        <is>
          <t>CDHC-160AYLLYYH</t>
        </is>
      </c>
      <c r="E59" s="23" t="inlineStr">
        <is>
          <t>16</t>
        </is>
      </c>
      <c r="F59" s="25" t="n">
        <v>240240</v>
      </c>
      <c r="G59" s="25" t="n">
        <v>240240</v>
      </c>
      <c r="H59" s="24" t="inlineStr">
        <is>
          <t>하이마트</t>
        </is>
      </c>
      <c r="I59" s="23" t="n">
        <v>8</v>
      </c>
      <c r="J59" s="24" t="inlineStr">
        <is>
          <t>https://search.danawa.com/dsearch.php?query=%EC%BA%90%EB%A6%AC%EC%96%B4%20%EC%A0%9C%EC%8A%B5%EA%B8%B0%2016L</t>
        </is>
      </c>
      <c r="K59" s="23" t="inlineStr">
        <is>
          <t>판매처 수 적음</t>
        </is>
      </c>
    </row>
    <row r="60">
      <c r="A60" s="23" t="inlineStr">
        <is>
          <t>캐리어 16L 제습기</t>
        </is>
      </c>
      <c r="B60" s="23" t="inlineStr">
        <is>
          <t>캐리어</t>
        </is>
      </c>
      <c r="C60" s="24" t="inlineStr">
        <is>
          <t>캐리어 ACDHMC016LRWW</t>
        </is>
      </c>
      <c r="D60" s="23" t="inlineStr">
        <is>
          <t>ACDHMC016LRWW</t>
        </is>
      </c>
      <c r="E60" s="23" t="inlineStr">
        <is>
          <t>16</t>
        </is>
      </c>
      <c r="F60" s="25" t="n">
        <v>399990</v>
      </c>
      <c r="G60" s="25" t="inlineStr"/>
      <c r="H60" s="24" t="inlineStr"/>
      <c r="I60" s="23" t="n">
        <v>2</v>
      </c>
      <c r="J60" s="24" t="inlineStr">
        <is>
          <t>https://search.danawa.com/dsearch.php?query=%EC%BA%90%EB%A6%AC%EC%96%B4%20%EC%A0%9C%EC%8A%B5%EA%B8%B0%2016L</t>
        </is>
      </c>
      <c r="K60" s="23" t="inlineStr">
        <is>
          <t>판매처 2곳, 가격 이상 고가 의심</t>
        </is>
      </c>
    </row>
    <row r="61">
      <c r="A61" s="23" t="inlineStr">
        <is>
          <t>캐리어 16L 제습기</t>
        </is>
      </c>
      <c r="B61" s="23" t="inlineStr">
        <is>
          <t>캐리어</t>
        </is>
      </c>
      <c r="C61" s="24" t="inlineStr">
        <is>
          <t>캐리어 CDHC-160AYLLEYH</t>
        </is>
      </c>
      <c r="D61" s="23" t="inlineStr">
        <is>
          <t>CDHC-160AYLLEYH</t>
        </is>
      </c>
      <c r="E61" s="23" t="inlineStr">
        <is>
          <t>16</t>
        </is>
      </c>
      <c r="F61" s="25" t="n">
        <v>256240</v>
      </c>
      <c r="G61" s="25" t="n">
        <v>256240</v>
      </c>
      <c r="H61" s="24" t="inlineStr">
        <is>
          <t>11번가</t>
        </is>
      </c>
      <c r="I61" s="23" t="n">
        <v>7</v>
      </c>
      <c r="J61" s="24" t="inlineStr">
        <is>
          <t>https://search.danawa.com/dsearch.php?query=%EC%BA%90%EB%A6%AC%EC%96%B4%20%EC%A0%9C%EC%8A%B5%EA%B8%B0%2016L</t>
        </is>
      </c>
      <c r="K61" s="23" t="inlineStr">
        <is>
          <t>판매처 수 적음, 최신 출시</t>
        </is>
      </c>
    </row>
    <row r="62">
      <c r="A62" s="23" t="inlineStr">
        <is>
          <t>캐리어 20L 이상 제습기</t>
        </is>
      </c>
      <c r="B62" s="23" t="inlineStr">
        <is>
          <t>캐리어</t>
        </is>
      </c>
      <c r="C62" s="24" t="inlineStr">
        <is>
          <t>캐리어 20L 제습기 CDHC-200ACLWOYH</t>
        </is>
      </c>
      <c r="D62" s="23" t="inlineStr">
        <is>
          <t>CDHC-200ACLWOYH</t>
        </is>
      </c>
      <c r="E62" s="23" t="inlineStr">
        <is>
          <t>20</t>
        </is>
      </c>
      <c r="F62" s="25" t="n">
        <v>299000</v>
      </c>
      <c r="G62" s="25" t="n">
        <v>299000</v>
      </c>
      <c r="H62" s="24" t="inlineStr">
        <is>
          <t>쿠팡</t>
        </is>
      </c>
      <c r="I62" s="23" t="n">
        <v>86</v>
      </c>
      <c r="J62" s="24" t="inlineStr">
        <is>
          <t>https://search.danawa.com/dsearch.php?query=%EC%BA%90%EB%A6%AC%EC%96%B4%20%EC%A0%9C%EC%8A%B5%EA%B8%B0%2020L</t>
        </is>
      </c>
      <c r="K62" s="23" t="inlineStr"/>
    </row>
    <row r="63">
      <c r="A63" s="23" t="inlineStr">
        <is>
          <t>캐리어 20L 이상 제습기</t>
        </is>
      </c>
      <c r="B63" s="23" t="inlineStr">
        <is>
          <t>캐리어</t>
        </is>
      </c>
      <c r="C63" s="24" t="inlineStr">
        <is>
          <t>캐리어 20L 제습기 CDHC-200AYMLOYH</t>
        </is>
      </c>
      <c r="D63" s="23" t="inlineStr">
        <is>
          <t>CDHC-200AYMLOYH</t>
        </is>
      </c>
      <c r="E63" s="23" t="inlineStr">
        <is>
          <t>20</t>
        </is>
      </c>
      <c r="F63" s="25" t="n">
        <v>243200</v>
      </c>
      <c r="G63" s="25" t="n">
        <v>243200</v>
      </c>
      <c r="H63" s="24" t="inlineStr">
        <is>
          <t>쿠팡</t>
        </is>
      </c>
      <c r="I63" s="23" t="n">
        <v>86</v>
      </c>
      <c r="J63" s="24" t="inlineStr">
        <is>
          <t>https://search.danawa.com/dsearch.php?query=%EC%BA%90%EB%A6%AC%EC%96%B4%20%EC%A0%9C%EC%8A%B5%EA%B8%B0%2020L</t>
        </is>
      </c>
      <c r="K63" s="23" t="inlineStr"/>
    </row>
    <row r="64">
      <c r="A64" s="23" t="inlineStr">
        <is>
          <t>캐리어 20L 이상 제습기</t>
        </is>
      </c>
      <c r="B64" s="23" t="inlineStr">
        <is>
          <t>캐리어</t>
        </is>
      </c>
      <c r="C64" s="24" t="inlineStr">
        <is>
          <t>캐리어 20L 제습기 CDHC-200AXMWOYH</t>
        </is>
      </c>
      <c r="D64" s="23" t="inlineStr">
        <is>
          <t>CDHC-200AXMWOYH</t>
        </is>
      </c>
      <c r="E64" s="23" t="inlineStr">
        <is>
          <t>20</t>
        </is>
      </c>
      <c r="F64" s="25" t="n">
        <v>237370</v>
      </c>
      <c r="G64" s="25" t="n">
        <v>237370</v>
      </c>
      <c r="H64" s="24" t="inlineStr">
        <is>
          <t>롯데ON</t>
        </is>
      </c>
      <c r="I64" s="23" t="n">
        <v>63</v>
      </c>
      <c r="J64" s="24" t="inlineStr">
        <is>
          <t>https://search.danawa.com/dsearch.php?query=%EC%BA%90%EB%A6%AC%EC%96%B4%20%EC%A0%9C%EC%8A%B5%EA%B8%B0%2020L</t>
        </is>
      </c>
      <c r="K64" s="23" t="inlineStr"/>
    </row>
    <row r="65">
      <c r="A65" s="23" t="inlineStr">
        <is>
          <t>캐리어 20L 이상 제습기</t>
        </is>
      </c>
      <c r="B65" s="23" t="inlineStr">
        <is>
          <t>캐리어</t>
        </is>
      </c>
      <c r="C65" s="24" t="inlineStr">
        <is>
          <t>캐리어 20L 제습기 CDHC-200AULLOXH</t>
        </is>
      </c>
      <c r="D65" s="23" t="inlineStr">
        <is>
          <t>CDHC-200AULLOXH</t>
        </is>
      </c>
      <c r="E65" s="23" t="inlineStr">
        <is>
          <t>20</t>
        </is>
      </c>
      <c r="F65" s="25" t="n">
        <v>315180</v>
      </c>
      <c r="G65" s="25" t="n">
        <v>315180</v>
      </c>
      <c r="H65" s="24" t="inlineStr">
        <is>
          <t>롯데ON</t>
        </is>
      </c>
      <c r="I65" s="23" t="n">
        <v>47</v>
      </c>
      <c r="J65" s="24" t="inlineStr">
        <is>
          <t>https://search.danawa.com/dsearch.php?query=%EC%BA%90%EB%A6%AC%EC%96%B4%20%EC%A0%9C%EC%8A%B5%EA%B8%B0%2020L</t>
        </is>
      </c>
      <c r="K65" s="23" t="inlineStr"/>
    </row>
    <row r="66">
      <c r="A66" s="23" t="inlineStr">
        <is>
          <t>캐리어 20L 이상 제습기</t>
        </is>
      </c>
      <c r="B66" s="23" t="inlineStr">
        <is>
          <t>캐리어</t>
        </is>
      </c>
      <c r="C66" s="24" t="inlineStr">
        <is>
          <t>캐리어 20L 제습기 CDHM-C020LMOB</t>
        </is>
      </c>
      <c r="D66" s="23" t="inlineStr">
        <is>
          <t>CDHM-C020LMOB</t>
        </is>
      </c>
      <c r="E66" s="23" t="inlineStr">
        <is>
          <t>20</t>
        </is>
      </c>
      <c r="F66" s="25" t="n">
        <v>252080</v>
      </c>
      <c r="G66" s="25" t="n">
        <v>252080</v>
      </c>
      <c r="H66" s="24" t="inlineStr">
        <is>
          <t>11번가</t>
        </is>
      </c>
      <c r="I66" s="23" t="n">
        <v>29</v>
      </c>
      <c r="J66" s="24" t="inlineStr">
        <is>
          <t>https://search.danawa.com/dsearch.php?query=%EC%BA%90%EB%A6%AC%EC%96%B4%20%EC%A0%9C%EC%8A%B5%EA%B8%B0%2020L</t>
        </is>
      </c>
      <c r="K66" s="23" t="inlineStr"/>
    </row>
    <row r="67">
      <c r="A67" s="23" t="inlineStr">
        <is>
          <t>캐리어 20L 이상 제습기</t>
        </is>
      </c>
      <c r="B67" s="23" t="inlineStr">
        <is>
          <t>캐리어</t>
        </is>
      </c>
      <c r="C67" s="24" t="inlineStr">
        <is>
          <t>캐리어 20L 제습기 CDHC-200AXLWAYH</t>
        </is>
      </c>
      <c r="D67" s="23" t="inlineStr">
        <is>
          <t>CDHC-200AXLWAYH</t>
        </is>
      </c>
      <c r="E67" s="23" t="inlineStr">
        <is>
          <t>20</t>
        </is>
      </c>
      <c r="F67" s="25" t="n">
        <v>288000</v>
      </c>
      <c r="G67" s="25" t="n">
        <v>288000</v>
      </c>
      <c r="H67" s="24" t="inlineStr">
        <is>
          <t>11번가</t>
        </is>
      </c>
      <c r="I67" s="23" t="n">
        <v>28</v>
      </c>
      <c r="J67" s="24" t="inlineStr">
        <is>
          <t>https://search.danawa.com/dsearch.php?query=%EC%BA%90%EB%A6%AC%EC%96%B4%20%EC%A0%9C%EC%8A%B5%EA%B8%B0%2020L</t>
        </is>
      </c>
      <c r="K67" s="23" t="inlineStr"/>
    </row>
    <row r="68">
      <c r="A68" s="23" t="inlineStr">
        <is>
          <t>캐리어 20L 이상 제습기</t>
        </is>
      </c>
      <c r="B68" s="23" t="inlineStr">
        <is>
          <t>캐리어</t>
        </is>
      </c>
      <c r="C68" s="24" t="inlineStr">
        <is>
          <t>캐리어 20L 제습기 CDHC-200AYMAEYH</t>
        </is>
      </c>
      <c r="D68" s="23" t="inlineStr">
        <is>
          <t>CDHC-200AYMAEYH</t>
        </is>
      </c>
      <c r="E68" s="23" t="inlineStr">
        <is>
          <t>20</t>
        </is>
      </c>
      <c r="F68" s="25" t="n">
        <v>248990</v>
      </c>
      <c r="G68" s="25" t="n">
        <v>248990</v>
      </c>
      <c r="H68" s="24" t="inlineStr">
        <is>
          <t>롯데ON</t>
        </is>
      </c>
      <c r="I68" s="23" t="n">
        <v>27</v>
      </c>
      <c r="J68" s="24" t="inlineStr">
        <is>
          <t>https://search.danawa.com/dsearch.php?query=%EC%BA%90%EB%A6%AC%EC%96%B4%20%EC%A0%9C%EC%8A%B5%EA%B8%B0%2020L</t>
        </is>
      </c>
      <c r="K68" s="23" t="inlineStr"/>
    </row>
    <row r="69">
      <c r="A69" s="23" t="inlineStr">
        <is>
          <t>캐리어 20L 이상 제습기</t>
        </is>
      </c>
      <c r="B69" s="23" t="inlineStr">
        <is>
          <t>캐리어</t>
        </is>
      </c>
      <c r="C69" s="24" t="inlineStr">
        <is>
          <t>캐리어 20L 제습기 CDHC-200AOLLOXH</t>
        </is>
      </c>
      <c r="D69" s="23" t="inlineStr">
        <is>
          <t>CDHC-200AOLLOXH</t>
        </is>
      </c>
      <c r="E69" s="23" t="inlineStr">
        <is>
          <t>20</t>
        </is>
      </c>
      <c r="F69" s="25" t="n">
        <v>336000</v>
      </c>
      <c r="G69" s="25" t="n">
        <v>336000</v>
      </c>
      <c r="H69" s="24" t="inlineStr">
        <is>
          <t>롯데ON</t>
        </is>
      </c>
      <c r="I69" s="23" t="n">
        <v>25</v>
      </c>
      <c r="J69" s="24" t="inlineStr">
        <is>
          <t>https://search.danawa.com/dsearch.php?query=%EC%BA%90%EB%A6%AC%EC%96%B4%20%EC%A0%9C%EC%8A%B5%EA%B8%B0%2020L</t>
        </is>
      </c>
      <c r="K69" s="23" t="inlineStr"/>
    </row>
    <row r="70">
      <c r="A70" s="23" t="inlineStr">
        <is>
          <t>한경희 제습기</t>
        </is>
      </c>
      <c r="B70" s="23" t="inlineStr">
        <is>
          <t>한경희생활과학</t>
        </is>
      </c>
      <c r="C70" s="24" t="inlineStr">
        <is>
          <t>한경희생활과학 HE-D781</t>
        </is>
      </c>
      <c r="D70" s="23" t="inlineStr">
        <is>
          <t>HE-D781</t>
        </is>
      </c>
      <c r="E70" s="23" t="inlineStr">
        <is>
          <t>8</t>
        </is>
      </c>
      <c r="F70" s="25" t="n">
        <v>143900</v>
      </c>
      <c r="G70" s="25" t="n">
        <v>143900</v>
      </c>
      <c r="H70" s="24" t="inlineStr">
        <is>
          <t>쿠팡</t>
        </is>
      </c>
      <c r="I70" s="23" t="n">
        <v>18</v>
      </c>
      <c r="J70" s="24" t="inlineStr">
        <is>
          <t>https://search.danawa.com/dsearch.php?query=%ED%95%9C%EA%B2%BD%ED%9D%AC%20%EC%A0%9C%EC%8A%B5%EA%B8%B0</t>
        </is>
      </c>
      <c r="K70" s="23" t="inlineStr"/>
    </row>
    <row r="71">
      <c r="A71" s="23" t="inlineStr">
        <is>
          <t>한경희 제습기</t>
        </is>
      </c>
      <c r="B71" s="23" t="inlineStr">
        <is>
          <t>한경희생활과학</t>
        </is>
      </c>
      <c r="C71" s="24" t="inlineStr">
        <is>
          <t>한경희생활과학 HE-D780</t>
        </is>
      </c>
      <c r="D71" s="23" t="inlineStr">
        <is>
          <t>HE-D780</t>
        </is>
      </c>
      <c r="E71" s="23" t="inlineStr">
        <is>
          <t>8</t>
        </is>
      </c>
      <c r="F71" s="25" t="n">
        <v>144160</v>
      </c>
      <c r="G71" s="25" t="n">
        <v>144160</v>
      </c>
      <c r="H71" s="24" t="inlineStr">
        <is>
          <t>쿠팡</t>
        </is>
      </c>
      <c r="I71" s="23" t="n">
        <v>15</v>
      </c>
      <c r="J71" s="24" t="inlineStr">
        <is>
          <t>https://search.danawa.com/dsearch.php?query=%ED%95%9C%EA%B2%BD%ED%9D%AC%20%EC%A0%9C%EC%8A%B5%EA%B8%B0</t>
        </is>
      </c>
      <c r="K71" s="23" t="inlineStr"/>
    </row>
    <row r="72">
      <c r="A72" s="23" t="inlineStr">
        <is>
          <t>한경희 제습기</t>
        </is>
      </c>
      <c r="B72" s="23" t="inlineStr">
        <is>
          <t>한경희생활과학</t>
        </is>
      </c>
      <c r="C72" s="24" t="inlineStr">
        <is>
          <t>한경희생활과학 HEDH-B1890</t>
        </is>
      </c>
      <c r="D72" s="23" t="inlineStr">
        <is>
          <t>HEDH-B1890</t>
        </is>
      </c>
      <c r="E72" s="23" t="inlineStr">
        <is>
          <t>13</t>
        </is>
      </c>
      <c r="F72" s="25" t="n">
        <v>183040</v>
      </c>
      <c r="G72" s="25" t="n">
        <v>183040</v>
      </c>
      <c r="H72" s="24" t="inlineStr">
        <is>
          <t>쿠팡</t>
        </is>
      </c>
      <c r="I72" s="23" t="n">
        <v>9</v>
      </c>
      <c r="J72" s="24" t="inlineStr">
        <is>
          <t>https://search.danawa.com/dsearch.php?query=%ED%95%9C%EA%B2%BD%ED%9D%AC%20%EC%A0%9C%EC%8A%B5%EA%B8%B0</t>
        </is>
      </c>
      <c r="K72" s="23" t="inlineStr"/>
    </row>
    <row r="73">
      <c r="A73" s="23" t="inlineStr">
        <is>
          <t>한경희 제습기</t>
        </is>
      </c>
      <c r="B73" s="23" t="inlineStr">
        <is>
          <t>한경희생활과학</t>
        </is>
      </c>
      <c r="C73" s="24" t="inlineStr">
        <is>
          <t>한경희생활과학 HEHD-B0712WT</t>
        </is>
      </c>
      <c r="D73" s="23" t="inlineStr">
        <is>
          <t>HEHD-B0712WT</t>
        </is>
      </c>
      <c r="E73" s="23" t="inlineStr">
        <is>
          <t>8</t>
        </is>
      </c>
      <c r="F73" s="25" t="n">
        <v>189000</v>
      </c>
      <c r="G73" s="25" t="n">
        <v>189000</v>
      </c>
      <c r="H73" s="24" t="inlineStr">
        <is>
          <t>11번가</t>
        </is>
      </c>
      <c r="I73" s="23" t="n">
        <v>28</v>
      </c>
      <c r="J73" s="24" t="inlineStr">
        <is>
          <t>https://search.danawa.com/dsearch.php?query=%ED%95%9C%EA%B2%BD%ED%9D%AC%20%EC%A0%9C%EC%8A%B5%EA%B8%B0</t>
        </is>
      </c>
      <c r="K73" s="23" t="inlineStr"/>
    </row>
    <row r="74">
      <c r="A74" s="23" t="inlineStr">
        <is>
          <t>한경희 제습기</t>
        </is>
      </c>
      <c r="B74" s="23" t="inlineStr">
        <is>
          <t>한경희생활과학</t>
        </is>
      </c>
      <c r="C74" s="24" t="inlineStr">
        <is>
          <t>한경희생활과학 HEHD-B0712WTN</t>
        </is>
      </c>
      <c r="D74" s="23" t="inlineStr">
        <is>
          <t>HEHD-B0712WTN</t>
        </is>
      </c>
      <c r="E74" s="23" t="inlineStr">
        <is>
          <t>8</t>
        </is>
      </c>
      <c r="F74" s="25" t="n">
        <v>146000</v>
      </c>
      <c r="G74" s="25" t="n">
        <v>146000</v>
      </c>
      <c r="H74" s="24" t="inlineStr">
        <is>
          <t>쿠팡</t>
        </is>
      </c>
      <c r="I74" s="23" t="n">
        <v>4</v>
      </c>
      <c r="J74" s="24" t="inlineStr">
        <is>
          <t>https://search.danawa.com/dsearch.php?query=%ED%95%9C%EA%B2%BD%ED%9D%AC%20%EC%A0%9C%EC%8A%B5%EA%B8%B0</t>
        </is>
      </c>
      <c r="K74" s="23" t="inlineStr"/>
    </row>
    <row r="75">
      <c r="A75" s="23" t="inlineStr">
        <is>
          <t>한경희 제습기</t>
        </is>
      </c>
      <c r="B75" s="23" t="inlineStr">
        <is>
          <t>한경희이지라이프</t>
        </is>
      </c>
      <c r="C75" s="24" t="inlineStr">
        <is>
          <t>한경희이지라이프 HE-D720</t>
        </is>
      </c>
      <c r="D75" s="23" t="inlineStr">
        <is>
          <t>HE-D720</t>
        </is>
      </c>
      <c r="E75" s="23" t="inlineStr">
        <is>
          <t>12</t>
        </is>
      </c>
      <c r="F75" s="25" t="n">
        <v>198550</v>
      </c>
      <c r="G75" s="25" t="n">
        <v>198550</v>
      </c>
      <c r="H75" s="24" t="inlineStr">
        <is>
          <t>쿠팡</t>
        </is>
      </c>
      <c r="I75" s="23" t="n">
        <v>21</v>
      </c>
      <c r="J75" s="24" t="inlineStr">
        <is>
          <t>https://search.danawa.com/dsearch.php?query=%ED%95%9C%EA%B2%BD%ED%9D%AC%20%EC%A0%9C%EC%8A%B5%EA%B8%B0</t>
        </is>
      </c>
      <c r="K75" s="23" t="inlineStr"/>
    </row>
    <row r="76">
      <c r="A76" s="23" t="inlineStr">
        <is>
          <t>한경희 제습기</t>
        </is>
      </c>
      <c r="B76" s="23" t="inlineStr">
        <is>
          <t>한경희생활과학</t>
        </is>
      </c>
      <c r="C76" s="24" t="inlineStr">
        <is>
          <t>한경희생활과학 HE-D707</t>
        </is>
      </c>
      <c r="D76" s="23" t="inlineStr">
        <is>
          <t>HE-D707</t>
        </is>
      </c>
      <c r="E76" s="23" t="inlineStr">
        <is>
          <t>7</t>
        </is>
      </c>
      <c r="F76" s="25" t="n">
        <v>143490</v>
      </c>
      <c r="G76" s="25" t="inlineStr"/>
      <c r="H76" s="24" t="inlineStr"/>
      <c r="I76" s="23" t="n">
        <v>2</v>
      </c>
      <c r="J76" s="24" t="inlineStr">
        <is>
          <t>https://search.danawa.com/dsearch.php?query=%ED%95%9C%EA%B2%BD%ED%9D%AC%20%EC%A0%9C%EC%8A%B5%EA%B8%B0</t>
        </is>
      </c>
      <c r="K76" s="23" t="inlineStr"/>
    </row>
    <row r="77">
      <c r="A77" s="23" t="inlineStr">
        <is>
          <t>한경희 제습기</t>
        </is>
      </c>
      <c r="B77" s="23" t="inlineStr">
        <is>
          <t>한경희이지라이프</t>
        </is>
      </c>
      <c r="C77" s="24" t="inlineStr">
        <is>
          <t>한경희이지라이프 HD-1500</t>
        </is>
      </c>
      <c r="D77" s="23" t="inlineStr">
        <is>
          <t>HD-1500</t>
        </is>
      </c>
      <c r="E77" s="23" t="inlineStr">
        <is>
          <t>0.3</t>
        </is>
      </c>
      <c r="F77" s="25" t="n">
        <v>59900</v>
      </c>
      <c r="G77" s="25" t="n">
        <v>59900</v>
      </c>
      <c r="H77" s="24" t="inlineStr">
        <is>
          <t>쿠팡</t>
        </is>
      </c>
      <c r="I77" s="23" t="n">
        <v>26</v>
      </c>
      <c r="J77" s="24" t="inlineStr">
        <is>
          <t>https://search.danawa.com/dsearch.php?query=%ED%95%9C%EA%B2%BD%ED%9D%AC%20%EC%A0%9C%EC%8A%B5%EA%B8%B0</t>
        </is>
      </c>
      <c r="K77" s="23" t="inlineStr">
        <is>
          <t>소형 미니 제습기</t>
        </is>
      </c>
    </row>
    <row r="78">
      <c r="A78" s="23" t="inlineStr">
        <is>
          <t>보아르 제습기</t>
        </is>
      </c>
      <c r="B78" s="23" t="inlineStr">
        <is>
          <t>보아르</t>
        </is>
      </c>
      <c r="C78" s="24" t="inlineStr">
        <is>
          <t>보아르 모아 파워 18L</t>
        </is>
      </c>
      <c r="D78" s="23" t="inlineStr">
        <is>
          <t>VO-DE002</t>
        </is>
      </c>
      <c r="E78" s="23" t="inlineStr">
        <is>
          <t>18</t>
        </is>
      </c>
      <c r="F78" s="25" t="n">
        <v>258000</v>
      </c>
      <c r="G78" s="25" t="n">
        <v>258000</v>
      </c>
      <c r="H78" s="24" t="inlineStr">
        <is>
          <t>쿠팡</t>
        </is>
      </c>
      <c r="I78" s="23" t="n">
        <v>22</v>
      </c>
      <c r="J78" s="24" t="inlineStr">
        <is>
          <t>https://search.danawa.com/dsearch.php?query=%EB%B3%B4%EC%95%84%EB%A5%B4%20%EC%A0%9C%EC%8A%B5%EA%B8%B0</t>
        </is>
      </c>
      <c r="K78" s="23" t="inlineStr"/>
    </row>
    <row r="79">
      <c r="A79" s="23" t="inlineStr">
        <is>
          <t>보아르 제습기</t>
        </is>
      </c>
      <c r="B79" s="23" t="inlineStr">
        <is>
          <t>보아르</t>
        </is>
      </c>
      <c r="C79" s="24" t="inlineStr">
        <is>
          <t>보아르 모아 스마트 제습기 14L</t>
        </is>
      </c>
      <c r="D79" s="23" t="inlineStr">
        <is>
          <t>VO-DH005</t>
        </is>
      </c>
      <c r="E79" s="23" t="inlineStr">
        <is>
          <t>14</t>
        </is>
      </c>
      <c r="F79" s="25" t="n">
        <v>228000</v>
      </c>
      <c r="G79" s="25" t="n">
        <v>228000</v>
      </c>
      <c r="H79" s="24" t="inlineStr">
        <is>
          <t>쿠팡</t>
        </is>
      </c>
      <c r="I79" s="23" t="n">
        <v>24</v>
      </c>
      <c r="J79" s="24" t="inlineStr">
        <is>
          <t>https://search.danawa.com/dsearch.php?query=%EB%B3%B4%EC%95%84%EB%A5%B4%20%EC%A0%9C%EC%8A%B5%EA%B8%B0</t>
        </is>
      </c>
      <c r="K79" s="23" t="inlineStr"/>
    </row>
    <row r="80">
      <c r="A80" s="23" t="inlineStr">
        <is>
          <t>보아르 제습기</t>
        </is>
      </c>
      <c r="B80" s="23" t="inlineStr">
        <is>
          <t>보아르</t>
        </is>
      </c>
      <c r="C80" s="24" t="inlineStr">
        <is>
          <t>보아르 모아 스마트 제습기 12L</t>
        </is>
      </c>
      <c r="D80" s="23" t="inlineStr"/>
      <c r="E80" s="23" t="inlineStr">
        <is>
          <t>12</t>
        </is>
      </c>
      <c r="F80" s="25" t="n">
        <v>208000</v>
      </c>
      <c r="G80" s="25" t="inlineStr"/>
      <c r="H80" s="24" t="inlineStr"/>
      <c r="I80" s="23" t="n">
        <v>24</v>
      </c>
      <c r="J80" s="24" t="inlineStr">
        <is>
          <t>https://search.danawa.com/dsearch.php?query=%EB%B3%B4%EC%95%84%EB%A5%B4%20%EC%A0%9C%EC%8A%B5%EA%B8%B0</t>
        </is>
      </c>
      <c r="K80" s="23" t="inlineStr">
        <is>
          <t>모델번호 미표기</t>
        </is>
      </c>
    </row>
    <row r="81">
      <c r="A81" s="23" t="inlineStr">
        <is>
          <t>보아르 제습기</t>
        </is>
      </c>
      <c r="B81" s="23" t="inlineStr">
        <is>
          <t>보아르</t>
        </is>
      </c>
      <c r="C81" s="24" t="inlineStr">
        <is>
          <t>보아르 모아 파워 7L</t>
        </is>
      </c>
      <c r="D81" s="23" t="inlineStr">
        <is>
          <t>VO-DE001</t>
        </is>
      </c>
      <c r="E81" s="23" t="inlineStr">
        <is>
          <t>7</t>
        </is>
      </c>
      <c r="F81" s="25" t="n">
        <v>148000</v>
      </c>
      <c r="G81" s="25" t="n">
        <v>148000</v>
      </c>
      <c r="H81" s="24" t="inlineStr">
        <is>
          <t>쿠팡</t>
        </is>
      </c>
      <c r="I81" s="23" t="n">
        <v>12</v>
      </c>
      <c r="J81" s="24" t="inlineStr">
        <is>
          <t>https://search.danawa.com/dsearch.php?query=%EB%B3%B4%EC%95%84%EB%A5%B4%20%EC%A0%9C%EC%8A%B5%EA%B8%B0</t>
        </is>
      </c>
      <c r="K81" s="23" t="inlineStr"/>
    </row>
    <row r="82">
      <c r="A82" s="23" t="inlineStr">
        <is>
          <t>보아르 제습기</t>
        </is>
      </c>
      <c r="B82" s="23" t="inlineStr">
        <is>
          <t>보아르</t>
        </is>
      </c>
      <c r="C82" s="24" t="inlineStr">
        <is>
          <t>보아르 모아 S2000</t>
        </is>
      </c>
      <c r="D82" s="23" t="inlineStr"/>
      <c r="E82" s="23" t="inlineStr">
        <is>
          <t>0.5</t>
        </is>
      </c>
      <c r="F82" s="25" t="n">
        <v>96180</v>
      </c>
      <c r="G82" s="25" t="inlineStr"/>
      <c r="H82" s="24" t="inlineStr"/>
      <c r="I82" s="23" t="n">
        <v>23</v>
      </c>
      <c r="J82" s="24" t="inlineStr">
        <is>
          <t>https://search.danawa.com/dsearch.php?query=%EB%B3%B4%EC%95%84%EB%A5%B4%20%EC%A0%9C%EC%8A%B5%EA%B8%B0</t>
        </is>
      </c>
      <c r="K82" s="23" t="inlineStr">
        <is>
          <t>소형(미니) 제습기, 모델번호 미표기</t>
        </is>
      </c>
    </row>
    <row r="83">
      <c r="A83" s="23" t="inlineStr">
        <is>
          <t>보아르 제습기</t>
        </is>
      </c>
      <c r="B83" s="23" t="inlineStr">
        <is>
          <t>보아르</t>
        </is>
      </c>
      <c r="C83" s="24" t="inlineStr">
        <is>
          <t>보아르 모아 M1000</t>
        </is>
      </c>
      <c r="D83" s="23" t="inlineStr">
        <is>
          <t>VO-DH002</t>
        </is>
      </c>
      <c r="E83" s="23" t="inlineStr">
        <is>
          <t>0.75</t>
        </is>
      </c>
      <c r="F83" s="25" t="n">
        <v>94000</v>
      </c>
      <c r="G83" s="25" t="n">
        <v>94000</v>
      </c>
      <c r="H83" s="24" t="inlineStr">
        <is>
          <t>쿠팡</t>
        </is>
      </c>
      <c r="I83" s="23" t="n">
        <v>49</v>
      </c>
      <c r="J83" s="24" t="inlineStr">
        <is>
          <t>https://search.danawa.com/dsearch.php?query=%EB%B3%B4%EC%95%84%EB%A5%B4%20%EC%A0%9C%EC%8A%B5%EA%B8%B0</t>
        </is>
      </c>
      <c r="K83" s="23" t="inlineStr">
        <is>
          <t>소형(미니) 제습기</t>
        </is>
      </c>
    </row>
    <row r="84">
      <c r="A84" s="23" t="inlineStr">
        <is>
          <t>보아르 제습기</t>
        </is>
      </c>
      <c r="B84" s="23" t="inlineStr">
        <is>
          <t>보아르</t>
        </is>
      </c>
      <c r="C84" s="24" t="inlineStr">
        <is>
          <t>보아르 모아 S3200</t>
        </is>
      </c>
      <c r="D84" s="23" t="inlineStr"/>
      <c r="E84" s="23" t="inlineStr">
        <is>
          <t>0.65</t>
        </is>
      </c>
      <c r="F84" s="25" t="n">
        <v>99000</v>
      </c>
      <c r="G84" s="25" t="inlineStr"/>
      <c r="H84" s="24" t="inlineStr"/>
      <c r="I84" s="23" t="n">
        <v>18</v>
      </c>
      <c r="J84" s="24" t="inlineStr">
        <is>
          <t>https://search.danawa.com/dsearch.php?query=%EB%B3%B4%EC%95%84%EB%A5%B4%20%EC%A0%9C%EC%8A%B5%EA%B8%B0</t>
        </is>
      </c>
      <c r="K84" s="23" t="inlineStr">
        <is>
          <t>소형(미니) 제습기, 모델번호 미표기</t>
        </is>
      </c>
    </row>
    <row r="85">
      <c r="A85" s="23" t="inlineStr">
        <is>
          <t>보아르 제습기</t>
        </is>
      </c>
      <c r="B85" s="23" t="inlineStr">
        <is>
          <t>보아르</t>
        </is>
      </c>
      <c r="C85" s="24" t="inlineStr">
        <is>
          <t>보아르 모아 파인 F2000</t>
        </is>
      </c>
      <c r="D85" s="23" t="inlineStr">
        <is>
          <t>VO-DH004</t>
        </is>
      </c>
      <c r="E85" s="23" t="inlineStr">
        <is>
          <t>0.75</t>
        </is>
      </c>
      <c r="F85" s="25" t="n">
        <v>87000</v>
      </c>
      <c r="G85" s="25" t="n">
        <v>87000</v>
      </c>
      <c r="H85" s="24" t="inlineStr">
        <is>
          <t>쿠팡</t>
        </is>
      </c>
      <c r="I85" s="23" t="n">
        <v>27</v>
      </c>
      <c r="J85" s="24" t="inlineStr">
        <is>
          <t>https://search.danawa.com/dsearch.php?query=%EB%B3%B4%EC%95%84%EB%A5%B4%20%EC%A0%9C%EC%8A%B5%EA%B8%B0</t>
        </is>
      </c>
      <c r="K85" s="23" t="inlineStr">
        <is>
          <t>소형(미니) 제습기</t>
        </is>
      </c>
    </row>
    <row r="86">
      <c r="A86" s="23" t="inlineStr">
        <is>
          <t>제니퍼룸 제습기</t>
        </is>
      </c>
      <c r="B86" s="23" t="inlineStr">
        <is>
          <t>제니퍼룸</t>
        </is>
      </c>
      <c r="C86" s="24" t="inlineStr">
        <is>
          <t>제니퍼룸 마카롱 JR-DH2001</t>
        </is>
      </c>
      <c r="D86" s="23" t="inlineStr">
        <is>
          <t>JR-DH2001</t>
        </is>
      </c>
      <c r="E86" s="23" t="inlineStr">
        <is>
          <t>7</t>
        </is>
      </c>
      <c r="F86" s="25" t="n">
        <v>149000</v>
      </c>
      <c r="G86" s="25" t="n">
        <v>149000</v>
      </c>
      <c r="H86" s="24" t="inlineStr">
        <is>
          <t>오늘의집</t>
        </is>
      </c>
      <c r="I86" s="23" t="n">
        <v>288</v>
      </c>
      <c r="J86" s="24" t="inlineStr">
        <is>
          <t>https://search.danawa.com/dsearch.php?query=%EC%A0%9C%EB%8B%88%ED%8D%BC%EB%A3%B8%20%EC%A0%9C%EC%8A%B5%EA%B8%B0</t>
        </is>
      </c>
      <c r="K86" s="23" t="inlineStr">
        <is>
          <t>판매처 다수, 대표 인기모델</t>
        </is>
      </c>
    </row>
    <row r="87">
      <c r="A87" s="23" t="inlineStr">
        <is>
          <t>제니퍼룸 제습기</t>
        </is>
      </c>
      <c r="B87" s="23" t="inlineStr">
        <is>
          <t>제니퍼룸</t>
        </is>
      </c>
      <c r="C87" s="24" t="inlineStr">
        <is>
          <t>제니퍼룸 마카롱 플러스</t>
        </is>
      </c>
      <c r="D87" s="23" t="inlineStr">
        <is>
          <t>JRG-DH0801</t>
        </is>
      </c>
      <c r="E87" s="23" t="inlineStr">
        <is>
          <t>8</t>
        </is>
      </c>
      <c r="F87" s="25" t="n">
        <v>155330</v>
      </c>
      <c r="G87" s="25" t="n">
        <v>155330</v>
      </c>
      <c r="H87" s="24" t="inlineStr">
        <is>
          <t>쿠팡</t>
        </is>
      </c>
      <c r="I87" s="23" t="n">
        <v>3</v>
      </c>
      <c r="J87" s="24" t="inlineStr">
        <is>
          <t>https://search.danawa.com/dsearch.php?query=%EC%A0%9C%EB%8B%88%ED%8D%BC%EB%A3%B8%20%EC%A0%9C%EC%8A%B5%EA%B8%B0</t>
        </is>
      </c>
      <c r="K87" s="23" t="inlineStr">
        <is>
          <t>신제품, 판매처 소수</t>
        </is>
      </c>
    </row>
    <row r="88">
      <c r="A88" s="23" t="inlineStr">
        <is>
          <t>제니퍼룸 제습기</t>
        </is>
      </c>
      <c r="B88" s="23" t="inlineStr">
        <is>
          <t>제니퍼룸</t>
        </is>
      </c>
      <c r="C88" s="24" t="inlineStr">
        <is>
          <t>제니퍼룸 스마트 퓨어</t>
        </is>
      </c>
      <c r="D88" s="23" t="inlineStr">
        <is>
          <t>JRG-DH1801WH</t>
        </is>
      </c>
      <c r="E88" s="23" t="inlineStr">
        <is>
          <t>18</t>
        </is>
      </c>
      <c r="F88" s="25" t="n">
        <v>278940</v>
      </c>
      <c r="G88" s="25" t="n">
        <v>278940</v>
      </c>
      <c r="H88" s="24" t="inlineStr">
        <is>
          <t>옥션</t>
        </is>
      </c>
      <c r="I88" s="23" t="n">
        <v>16</v>
      </c>
      <c r="J88" s="24" t="inlineStr">
        <is>
          <t>https://search.danawa.com/dsearch.php?query=%EC%A0%9C%EB%8B%88%ED%8D%BC%EB%A3%B8%20%EC%A0%9C%EC%8A%B5%EA%B8%B0</t>
        </is>
      </c>
      <c r="K88" s="23" t="inlineStr">
        <is>
          <t>대용량, 인버터급 1등급</t>
        </is>
      </c>
    </row>
    <row r="89">
      <c r="A89" s="23" t="inlineStr">
        <is>
          <t>제니퍼룸 제습기</t>
        </is>
      </c>
      <c r="B89" s="23" t="inlineStr">
        <is>
          <t>제니퍼룸</t>
        </is>
      </c>
      <c r="C89" s="24" t="inlineStr">
        <is>
          <t>제니퍼룸 JR-DH0001WH</t>
        </is>
      </c>
      <c r="D89" s="23" t="inlineStr">
        <is>
          <t>JR-DH0001WH</t>
        </is>
      </c>
      <c r="E89" s="23" t="inlineStr">
        <is>
          <t>7</t>
        </is>
      </c>
      <c r="F89" s="25" t="n">
        <v>246370</v>
      </c>
      <c r="G89" s="25" t="n">
        <v>246370</v>
      </c>
      <c r="H89" s="24" t="inlineStr">
        <is>
          <t>옥션</t>
        </is>
      </c>
      <c r="I89" s="23" t="n">
        <v>13</v>
      </c>
      <c r="J89" s="24" t="inlineStr">
        <is>
          <t>https://search.danawa.com/dsearch.php?query=%EC%A0%9C%EB%8B%88%ED%8D%BC%EB%A3%B8%20%EC%A0%9C%EC%8A%B5%EA%B8%B0</t>
        </is>
      </c>
      <c r="K89" s="23" t="inlineStr">
        <is>
          <t>구형(2020)</t>
        </is>
      </c>
    </row>
    <row r="90">
      <c r="A90" s="23" t="inlineStr">
        <is>
          <t>제니퍼룸 제습기</t>
        </is>
      </c>
      <c r="B90" s="23" t="inlineStr">
        <is>
          <t>제니퍼룸</t>
        </is>
      </c>
      <c r="C90" s="24" t="inlineStr">
        <is>
          <t>제니퍼룸 스마트 퓨어 제습기 30L</t>
        </is>
      </c>
      <c r="D90" s="23" t="inlineStr">
        <is>
          <t>JRG-DH1801</t>
        </is>
      </c>
      <c r="E90" s="23" t="inlineStr">
        <is>
          <t>30</t>
        </is>
      </c>
      <c r="F90" s="25" t="n">
        <v>343570</v>
      </c>
      <c r="G90" s="25" t="inlineStr"/>
      <c r="H90" s="24" t="inlineStr"/>
      <c r="I90" s="23" t="n">
        <v>1</v>
      </c>
      <c r="J90" s="24" t="inlineStr">
        <is>
          <t>https://search.danawa.com/dsearch.php?query=%EC%A0%9C%EB%8B%88%ED%8D%BC%EB%A3%B8%20%EC%A0%9C%EC%8A%B5%EA%B8%B0</t>
        </is>
      </c>
      <c r="K90" s="23" t="inlineStr">
        <is>
          <t>11번가 단독 판매처1, 스마트퓨어 중복리스팅 의심</t>
        </is>
      </c>
    </row>
    <row r="91">
      <c r="A91" s="23" t="inlineStr">
        <is>
          <t>홈플래닛 제습기</t>
        </is>
      </c>
      <c r="B91" s="23" t="inlineStr">
        <is>
          <t>홈플래닛</t>
        </is>
      </c>
      <c r="C91" s="24" t="inlineStr">
        <is>
          <t>홈플래닛 FDD6-5120V4R2</t>
        </is>
      </c>
      <c r="D91" s="23" t="inlineStr">
        <is>
          <t>FDD6-5120V4R2</t>
        </is>
      </c>
      <c r="E91" s="23" t="inlineStr">
        <is>
          <t>6</t>
        </is>
      </c>
      <c r="F91" s="25" t="n">
        <v>113990</v>
      </c>
      <c r="G91" s="25" t="inlineStr"/>
      <c r="H91" s="24" t="inlineStr"/>
      <c r="I91" s="23" t="n">
        <v>1</v>
      </c>
      <c r="J91" s="24" t="inlineStr">
        <is>
          <t>https://search.danawa.com/dsearch.php?query=%ED%99%88%ED%94%8C%EB%9E%98%EB%8B%9B%20%EC%A0%9C%EC%8A%B5%EA%B8%B0</t>
        </is>
      </c>
      <c r="K91" s="23" t="inlineStr">
        <is>
          <t>판매처 1곳</t>
        </is>
      </c>
    </row>
    <row r="92">
      <c r="A92" s="23" t="inlineStr">
        <is>
          <t>홈플래닛 제습기</t>
        </is>
      </c>
      <c r="B92" s="23" t="inlineStr">
        <is>
          <t>홈플래닛</t>
        </is>
      </c>
      <c r="C92" s="24" t="inlineStr">
        <is>
          <t>홈플래닛 에어큐브 NEK-DH0612L</t>
        </is>
      </c>
      <c r="D92" s="23" t="inlineStr">
        <is>
          <t>NEK-DH0612L</t>
        </is>
      </c>
      <c r="E92" s="23" t="inlineStr">
        <is>
          <t>7.2</t>
        </is>
      </c>
      <c r="F92" s="25" t="n">
        <v>118800</v>
      </c>
      <c r="G92" s="25" t="n">
        <v>118800</v>
      </c>
      <c r="H92" s="24" t="inlineStr">
        <is>
          <t>쿠팡</t>
        </is>
      </c>
      <c r="I92" s="23" t="n">
        <v>11</v>
      </c>
      <c r="J92" s="24" t="inlineStr">
        <is>
          <t>https://search.danawa.com/dsearch.php?query=%ED%99%88%ED%94%8C%EB%9E%98%EB%8B%9B%20%EC%A0%9C%EC%8A%B5%EA%B8%B0</t>
        </is>
      </c>
      <c r="K92" s="23" t="inlineStr">
        <is>
          <t>판매처 11곳으로 최다</t>
        </is>
      </c>
    </row>
    <row r="93">
      <c r="A93" s="23" t="inlineStr">
        <is>
          <t>홈플래닛 제습기</t>
        </is>
      </c>
      <c r="B93" s="23" t="inlineStr">
        <is>
          <t>홈플래닛</t>
        </is>
      </c>
      <c r="C93" s="24" t="inlineStr">
        <is>
          <t>홈플래닛 PD10A</t>
        </is>
      </c>
      <c r="D93" s="23" t="inlineStr">
        <is>
          <t>PD10A</t>
        </is>
      </c>
      <c r="E93" s="23" t="inlineStr">
        <is>
          <t>16</t>
        </is>
      </c>
      <c r="F93" s="25" t="n">
        <v>266560</v>
      </c>
      <c r="G93" s="25" t="n">
        <v>266560</v>
      </c>
      <c r="H93" s="24" t="inlineStr">
        <is>
          <t>11번가</t>
        </is>
      </c>
      <c r="I93" s="23" t="n">
        <v>7</v>
      </c>
      <c r="J93" s="24" t="inlineStr">
        <is>
          <t>https://search.danawa.com/dsearch.php?query=%ED%99%88%ED%94%8C%EB%9E%98%EB%8B%9B%20%EC%A0%9C%EC%8A%B5%EA%B8%B0</t>
        </is>
      </c>
      <c r="K93" s="23" t="inlineStr"/>
    </row>
    <row r="94">
      <c r="A94" s="23" t="inlineStr">
        <is>
          <t>홈플래닛 제습기</t>
        </is>
      </c>
      <c r="B94" s="23" t="inlineStr">
        <is>
          <t>홈플래닛</t>
        </is>
      </c>
      <c r="C94" s="24" t="inlineStr">
        <is>
          <t>홈플래닛 드라이핏 FDD6-5184V4R2</t>
        </is>
      </c>
      <c r="D94" s="23" t="inlineStr">
        <is>
          <t>FDD6-5184V4R2</t>
        </is>
      </c>
      <c r="E94" s="23" t="inlineStr">
        <is>
          <t>6</t>
        </is>
      </c>
      <c r="F94" s="25" t="n">
        <v>119990</v>
      </c>
      <c r="G94" s="25" t="inlineStr"/>
      <c r="H94" s="24" t="inlineStr"/>
      <c r="I94" s="23" t="n">
        <v>2</v>
      </c>
      <c r="J94" s="24" t="inlineStr">
        <is>
          <t>https://search.danawa.com/dsearch.php?query=%ED%99%88%ED%94%8C%EB%9E%98%EB%8B%9B%20%EC%A0%9C%EC%8A%B5%EA%B8%B0</t>
        </is>
      </c>
      <c r="K94" s="23" t="inlineStr"/>
    </row>
    <row r="95">
      <c r="A95" s="23" t="inlineStr">
        <is>
          <t>홈플래닛 제습기</t>
        </is>
      </c>
      <c r="B95" s="23" t="inlineStr">
        <is>
          <t>홈플래닛</t>
        </is>
      </c>
      <c r="C95" s="24" t="inlineStr">
        <is>
          <t>홈플래닛 PD08A</t>
        </is>
      </c>
      <c r="D95" s="23" t="inlineStr">
        <is>
          <t>PD08A</t>
        </is>
      </c>
      <c r="E95" s="23" t="inlineStr">
        <is>
          <t>10</t>
        </is>
      </c>
      <c r="F95" s="25" t="n">
        <v>169990</v>
      </c>
      <c r="G95" s="25" t="n">
        <v>169990</v>
      </c>
      <c r="H95" s="24" t="inlineStr">
        <is>
          <t>쿠팡</t>
        </is>
      </c>
      <c r="I95" s="23" t="n">
        <v>4</v>
      </c>
      <c r="J95" s="24" t="inlineStr">
        <is>
          <t>https://search.danawa.com/dsearch.php?query=%ED%99%88%ED%94%8C%EB%9E%98%EB%8B%9B%20%EC%A0%9C%EC%8A%B5%EA%B8%B0</t>
        </is>
      </c>
      <c r="K95" s="23" t="inlineStr"/>
    </row>
    <row r="96">
      <c r="A96" s="23" t="inlineStr">
        <is>
          <t>홈플래닛 제습기</t>
        </is>
      </c>
      <c r="B96" s="23" t="inlineStr">
        <is>
          <t>홈플래닛</t>
        </is>
      </c>
      <c r="C96" s="24" t="inlineStr">
        <is>
          <t>홈플래닛 T8 미니 제습기</t>
        </is>
      </c>
      <c r="D96" s="23" t="inlineStr">
        <is>
          <t>T8</t>
        </is>
      </c>
      <c r="E96" s="23" t="inlineStr">
        <is>
          <t>0.3</t>
        </is>
      </c>
      <c r="F96" s="25" t="n">
        <v>32990</v>
      </c>
      <c r="G96" s="25" t="n">
        <v>32990</v>
      </c>
      <c r="H96" s="24" t="inlineStr">
        <is>
          <t>쿠팡</t>
        </is>
      </c>
      <c r="I96" s="23" t="n">
        <v>3</v>
      </c>
      <c r="J96" s="24" t="inlineStr">
        <is>
          <t>https://search.danawa.com/dsearch.php?query=%ED%99%88%ED%94%8C%EB%9E%98%EB%8B%9B%20%EC%A0%9C%EC%8A%B5%EA%B8%B0</t>
        </is>
      </c>
      <c r="K96" s="23" t="inlineStr">
        <is>
          <t>소형 미니 제습기(일일제습량 0.3L)</t>
        </is>
      </c>
    </row>
    <row r="97">
      <c r="A97" s="23" t="inlineStr">
        <is>
          <t>홈플래닛 제습기</t>
        </is>
      </c>
      <c r="B97" s="23" t="inlineStr">
        <is>
          <t>홈플래닛</t>
        </is>
      </c>
      <c r="C97" s="24" t="inlineStr">
        <is>
          <t>홈플래닛 무드등 미니 제습기</t>
        </is>
      </c>
      <c r="D97" s="23" t="inlineStr">
        <is>
          <t>DO-002B</t>
        </is>
      </c>
      <c r="E97" s="23" t="inlineStr"/>
      <c r="F97" s="25" t="n">
        <v>47380</v>
      </c>
      <c r="G97" s="25" t="inlineStr"/>
      <c r="H97" s="24" t="inlineStr"/>
      <c r="I97" s="23" t="n">
        <v>1</v>
      </c>
      <c r="J97" s="24" t="inlineStr">
        <is>
          <t>https://search.danawa.com/dsearch.php?query=%ED%99%88%ED%94%8C%EB%9E%98%EB%8B%9B%20%EC%A0%9C%EC%8A%B5%EA%B8%B0</t>
        </is>
      </c>
      <c r="K97" s="23" t="inlineStr">
        <is>
          <t>소형 미니 제습기, 일일제습량 미표기</t>
        </is>
      </c>
    </row>
    <row r="98">
      <c r="A98" s="23" t="inlineStr">
        <is>
          <t>홈플래닛 제습기</t>
        </is>
      </c>
      <c r="B98" s="23" t="inlineStr">
        <is>
          <t>홈플래닛</t>
        </is>
      </c>
      <c r="C98" s="24" t="inlineStr">
        <is>
          <t>홈플래닛 20L 제습기</t>
        </is>
      </c>
      <c r="D98" s="23" t="inlineStr"/>
      <c r="E98" s="23" t="inlineStr">
        <is>
          <t>20</t>
        </is>
      </c>
      <c r="F98" s="25" t="n">
        <v>213180</v>
      </c>
      <c r="G98" s="25" t="inlineStr"/>
      <c r="H98" s="24" t="inlineStr"/>
      <c r="I98" s="23" t="n">
        <v>1</v>
      </c>
      <c r="J98" s="24" t="inlineStr">
        <is>
          <t>https://search.danawa.com/dsearch.php?query=%ED%99%88%ED%94%8C%EB%9E%98%EB%8B%9B%20%EC%A0%9C%EC%8A%B5%EA%B8%B0</t>
        </is>
      </c>
      <c r="K98" s="23" t="inlineStr">
        <is>
          <t>모델번호 미확인, 판매처 1곳</t>
        </is>
      </c>
    </row>
    <row r="99">
      <c r="A99" s="23" t="inlineStr">
        <is>
          <t>파세코 제습기</t>
        </is>
      </c>
      <c r="B99" s="23" t="inlineStr">
        <is>
          <t>파세코</t>
        </is>
      </c>
      <c r="C99" s="24" t="inlineStr">
        <is>
          <t>파세코 PDH-16251W</t>
        </is>
      </c>
      <c r="D99" s="23" t="inlineStr">
        <is>
          <t>PDH-16251W</t>
        </is>
      </c>
      <c r="E99" s="23" t="inlineStr">
        <is>
          <t>16</t>
        </is>
      </c>
      <c r="F99" s="25" t="n">
        <v>194660</v>
      </c>
      <c r="G99" s="25" t="n">
        <v>194660</v>
      </c>
      <c r="H99" s="24" t="inlineStr">
        <is>
          <t>옥션</t>
        </is>
      </c>
      <c r="I99" s="23" t="n">
        <v>50</v>
      </c>
      <c r="J99" s="24" t="inlineStr">
        <is>
          <t>https://search.danawa.com/dsearch.php?query=%ED%8C%8C%EC%84%B8%EC%BD%94%20%EC%A0%9C%EC%8A%B5%EA%B8%B0</t>
        </is>
      </c>
      <c r="K99" s="23" t="inlineStr"/>
    </row>
    <row r="100">
      <c r="A100" s="23" t="inlineStr">
        <is>
          <t>파세코 제습기</t>
        </is>
      </c>
      <c r="B100" s="23" t="inlineStr">
        <is>
          <t>파세코</t>
        </is>
      </c>
      <c r="C100" s="24" t="inlineStr">
        <is>
          <t>파세코 PDH-12251W</t>
        </is>
      </c>
      <c r="D100" s="23" t="inlineStr">
        <is>
          <t>PDH-12251W</t>
        </is>
      </c>
      <c r="E100" s="23" t="inlineStr">
        <is>
          <t>7</t>
        </is>
      </c>
      <c r="F100" s="25" t="n">
        <v>154000</v>
      </c>
      <c r="G100" s="25" t="n">
        <v>154000</v>
      </c>
      <c r="H100" s="24" t="inlineStr">
        <is>
          <t>쿠팡</t>
        </is>
      </c>
      <c r="I100" s="23" t="n">
        <v>36</v>
      </c>
      <c r="J100" s="24" t="inlineStr">
        <is>
          <t>https://search.danawa.com/dsearch.php?query=%ED%8C%8C%EC%84%B8%EC%BD%94%20%EC%A0%9C%EC%8A%B5%EA%B8%B0</t>
        </is>
      </c>
      <c r="K100" s="23" t="inlineStr"/>
    </row>
    <row r="101">
      <c r="A101" s="23" t="inlineStr">
        <is>
          <t>파세코 제습기</t>
        </is>
      </c>
      <c r="B101" s="23" t="inlineStr">
        <is>
          <t>파세코</t>
        </is>
      </c>
      <c r="C101" s="24" t="inlineStr">
        <is>
          <t>파세코 PDH-2025FW</t>
        </is>
      </c>
      <c r="D101" s="23" t="inlineStr">
        <is>
          <t>PDH-2025FW</t>
        </is>
      </c>
      <c r="E101" s="23" t="inlineStr">
        <is>
          <t>20</t>
        </is>
      </c>
      <c r="F101" s="25" t="n">
        <v>193030</v>
      </c>
      <c r="G101" s="25" t="n">
        <v>193030</v>
      </c>
      <c r="H101" s="24" t="inlineStr">
        <is>
          <t>쿠팡</t>
        </is>
      </c>
      <c r="I101" s="23" t="n">
        <v>67</v>
      </c>
      <c r="J101" s="24" t="inlineStr">
        <is>
          <t>https://search.danawa.com/dsearch.php?query=%ED%8C%8C%EC%84%B8%EC%BD%94%20%EC%A0%9C%EC%8A%B5%EA%B8%B0</t>
        </is>
      </c>
      <c r="K101" s="23" t="inlineStr"/>
    </row>
    <row r="102">
      <c r="A102" s="23" t="inlineStr">
        <is>
          <t>파세코 제습기</t>
        </is>
      </c>
      <c r="B102" s="23" t="inlineStr">
        <is>
          <t>파세코</t>
        </is>
      </c>
      <c r="C102" s="24" t="inlineStr">
        <is>
          <t>파세코 PDH-12241W</t>
        </is>
      </c>
      <c r="D102" s="23" t="inlineStr">
        <is>
          <t>PDH-12241W</t>
        </is>
      </c>
      <c r="E102" s="23" t="inlineStr">
        <is>
          <t>7</t>
        </is>
      </c>
      <c r="F102" s="25" t="n">
        <v>159000</v>
      </c>
      <c r="G102" s="25" t="n">
        <v>159000</v>
      </c>
      <c r="H102" s="24" t="inlineStr">
        <is>
          <t>11번가</t>
        </is>
      </c>
      <c r="I102" s="23" t="n">
        <v>58</v>
      </c>
      <c r="J102" s="24" t="inlineStr">
        <is>
          <t>https://search.danawa.com/dsearch.php?query=%ED%8C%8C%EC%84%B8%EC%BD%94%20%EC%A0%9C%EC%8A%B5%EA%B8%B0</t>
        </is>
      </c>
      <c r="K102" s="23" t="inlineStr"/>
    </row>
    <row r="103">
      <c r="A103" s="23" t="inlineStr">
        <is>
          <t>파세코 제습기</t>
        </is>
      </c>
      <c r="B103" s="23" t="inlineStr">
        <is>
          <t>파세코</t>
        </is>
      </c>
      <c r="C103" s="24" t="inlineStr">
        <is>
          <t>파세코 PDF-IM110W-B</t>
        </is>
      </c>
      <c r="D103" s="23" t="inlineStr">
        <is>
          <t>PDF-IM110W-B</t>
        </is>
      </c>
      <c r="E103" s="23" t="inlineStr">
        <is>
          <t>110</t>
        </is>
      </c>
      <c r="F103" s="25" t="n">
        <v>1179190</v>
      </c>
      <c r="G103" s="25" t="inlineStr"/>
      <c r="H103" s="24" t="inlineStr"/>
      <c r="I103" s="23" t="n">
        <v>0</v>
      </c>
      <c r="J103" s="24" t="inlineStr">
        <is>
          <t>https://search.danawa.com/dsearch.php?query=%ED%8C%8C%EC%84%B8%EC%BD%94%20%EC%A0%9C%EC%8A%B5%EA%B8%B0</t>
        </is>
      </c>
      <c r="K103" s="23" t="inlineStr">
        <is>
          <t>산업용 대형 모델, 판매처 수 미확인(페이지 '다수' 표기)</t>
        </is>
      </c>
    </row>
    <row r="104">
      <c r="A104" s="23" t="inlineStr">
        <is>
          <t>소형/미니 컴프레서 제습기</t>
        </is>
      </c>
      <c r="B104" s="23" t="inlineStr">
        <is>
          <t>스피세프</t>
        </is>
      </c>
      <c r="C104" s="24" t="inlineStr">
        <is>
          <t>스피세프 미니 제습기</t>
        </is>
      </c>
      <c r="D104" s="23" t="inlineStr"/>
      <c r="E104" s="23" t="inlineStr"/>
      <c r="F104" s="25" t="n">
        <v>68710</v>
      </c>
      <c r="G104" s="25" t="inlineStr"/>
      <c r="H104" s="24" t="inlineStr"/>
      <c r="I104" s="23" t="n">
        <v>6</v>
      </c>
      <c r="J104" s="24" t="inlineStr">
        <is>
          <t>https://search.danawa.com/dsearch.php?query=%EC%86%8C%ED%98%95%20%EC%A0%9C%EC%8A%B5%EA%B8%B0%20%EC%9B%90%EB%A3%B8%20%ED%99%94%EC%9E%A5%EC%8B%A4</t>
        </is>
      </c>
      <c r="K104" s="23" t="inlineStr"/>
    </row>
    <row r="105">
      <c r="A105" s="23" t="inlineStr">
        <is>
          <t>소형/미니 컴프레서 제습기</t>
        </is>
      </c>
      <c r="B105" s="23" t="inlineStr"/>
      <c r="C105" s="24" t="inlineStr">
        <is>
          <t>가정용 미니 제습기 소형 원룸 욕실 드레스룸 (1100ml 물통)</t>
        </is>
      </c>
      <c r="D105" s="23" t="inlineStr"/>
      <c r="E105" s="23" t="inlineStr"/>
      <c r="F105" s="25" t="n">
        <v>83260</v>
      </c>
      <c r="G105" s="25" t="inlineStr"/>
      <c r="H105" s="24" t="inlineStr"/>
      <c r="I105" s="23" t="n">
        <v>0</v>
      </c>
      <c r="J105" s="24" t="inlineStr">
        <is>
          <t>https://search.danawa.com/dsearch.php?query=%EC%86%8C%ED%98%95%20%EC%A0%9C%EC%8A%B5%EA%B8%B0%20%EC%9B%90%EB%A3%B8%20%ED%99%94%EC%9E%A5%EC%8B%A4</t>
        </is>
      </c>
      <c r="K105" s="23" t="inlineStr">
        <is>
          <t>판매처 수 미표기</t>
        </is>
      </c>
    </row>
    <row r="106">
      <c r="A106" s="23" t="inlineStr">
        <is>
          <t>소형/미니 컴프레서 제습기</t>
        </is>
      </c>
      <c r="B106" s="23" t="inlineStr">
        <is>
          <t>인비탑</t>
        </is>
      </c>
      <c r="C106" s="24" t="inlineStr">
        <is>
          <t>인비탑 펠티어 미니 제습기</t>
        </is>
      </c>
      <c r="D106" s="23" t="inlineStr"/>
      <c r="E106" s="23" t="inlineStr"/>
      <c r="F106" s="25" t="n">
        <v>114250</v>
      </c>
      <c r="G106" s="25" t="inlineStr"/>
      <c r="H106" s="24" t="inlineStr"/>
      <c r="I106" s="23" t="n">
        <v>0</v>
      </c>
      <c r="J106" s="24" t="inlineStr">
        <is>
          <t>https://search.danawa.com/dsearch.php?query=%EC%86%8C%ED%98%95%20%EC%A0%9C%EC%8A%B5%EA%B8%B0%20%EC%9B%90%EB%A3%B8%20%ED%99%94%EC%9E%A5%EC%8B%A4</t>
        </is>
      </c>
      <c r="K106" s="23" t="inlineStr">
        <is>
          <t>펠티어 방식(비컴프레서), 판매처 수 미표기</t>
        </is>
      </c>
    </row>
    <row r="107">
      <c r="A107" s="23" t="inlineStr">
        <is>
          <t>소형/미니 컴프레서 제습기</t>
        </is>
      </c>
      <c r="B107" s="23" t="inlineStr">
        <is>
          <t>AUX</t>
        </is>
      </c>
      <c r="C107" s="24" t="inlineStr">
        <is>
          <t>AUX 제습기 2.7L</t>
        </is>
      </c>
      <c r="D107" s="23" t="inlineStr"/>
      <c r="E107" s="23" t="inlineStr"/>
      <c r="F107" s="25" t="n">
        <v>104640</v>
      </c>
      <c r="G107" s="25" t="inlineStr"/>
      <c r="H107" s="24" t="inlineStr"/>
      <c r="I107" s="23" t="n">
        <v>0</v>
      </c>
      <c r="J107" s="24" t="inlineStr">
        <is>
          <t>https://search.danawa.com/dsearch.php?query=%EC%86%8C%ED%98%95%20%EC%A0%9C%EC%8A%B5%EA%B8%B0%20%EC%9B%90%EB%A3%B8%20%ED%99%94%EC%9E%A5%EC%8B%A4</t>
        </is>
      </c>
      <c r="K107" s="23" t="inlineStr">
        <is>
          <t>직구, 판매처 수 미표기</t>
        </is>
      </c>
    </row>
    <row r="108">
      <c r="A108" s="23" t="inlineStr">
        <is>
          <t>소형/미니 컴프레서 제습기</t>
        </is>
      </c>
      <c r="B108" s="23" t="inlineStr"/>
      <c r="C108" s="24" t="inlineStr">
        <is>
          <t>원룸 미니제습기 가정용 드레스룸 화장실 옷장 소형</t>
        </is>
      </c>
      <c r="D108" s="23" t="inlineStr"/>
      <c r="E108" s="23" t="inlineStr"/>
      <c r="F108" s="25" t="n">
        <v>155960</v>
      </c>
      <c r="G108" s="25" t="inlineStr"/>
      <c r="H108" s="24" t="inlineStr"/>
      <c r="I108" s="23" t="n">
        <v>0</v>
      </c>
      <c r="J108" s="24" t="inlineStr">
        <is>
          <t>https://search.danawa.com/dsearch.php?query=%EC%86%8C%ED%98%95%20%EC%A0%9C%EC%8A%B5%EA%B8%B0%20%EC%9B%90%EB%A3%B8%20%ED%99%94%EC%9E%A5%EC%8B%A4</t>
        </is>
      </c>
      <c r="K108" s="23" t="inlineStr">
        <is>
          <t>판매처 수 미표기</t>
        </is>
      </c>
    </row>
    <row r="109">
      <c r="A109" s="23" t="inlineStr">
        <is>
          <t>소형/미니 컴프레서 제습기</t>
        </is>
      </c>
      <c r="B109" s="23" t="inlineStr">
        <is>
          <t>pick</t>
        </is>
      </c>
      <c r="C109" s="24" t="inlineStr">
        <is>
          <t>pick 슬림제습기 화장실 미니 원룸 가정용</t>
        </is>
      </c>
      <c r="D109" s="23" t="inlineStr"/>
      <c r="E109" s="23" t="inlineStr"/>
      <c r="F109" s="25" t="n">
        <v>79140</v>
      </c>
      <c r="G109" s="25" t="inlineStr"/>
      <c r="H109" s="24" t="inlineStr"/>
      <c r="I109" s="23" t="n">
        <v>0</v>
      </c>
      <c r="J109" s="24" t="inlineStr">
        <is>
          <t>https://search.danawa.com/dsearch.php?query=%EC%86%8C%ED%98%95%20%EC%A0%9C%EC%8A%B5%EA%B8%B0%20%EC%9B%90%EB%A3%B8%20%ED%99%94%EC%9E%A5%EC%8B%A4</t>
        </is>
      </c>
      <c r="K109" s="23" t="inlineStr">
        <is>
          <t>판매처 수 미표기</t>
        </is>
      </c>
    </row>
    <row r="110">
      <c r="A110" s="23" t="inlineStr">
        <is>
          <t>소형/미니 컴프레서 제습기</t>
        </is>
      </c>
      <c r="B110" s="23" t="inlineStr">
        <is>
          <t>보아르</t>
        </is>
      </c>
      <c r="C110" s="24" t="inlineStr">
        <is>
          <t>보아르 모아M1000 미니 제습기</t>
        </is>
      </c>
      <c r="D110" s="23" t="inlineStr">
        <is>
          <t>모아M1000</t>
        </is>
      </c>
      <c r="E110" s="23" t="inlineStr"/>
      <c r="F110" s="25" t="n">
        <v>94000</v>
      </c>
      <c r="G110" s="25" t="inlineStr"/>
      <c r="H110" s="24" t="inlineStr"/>
      <c r="I110" s="23" t="n">
        <v>0</v>
      </c>
      <c r="J110" s="24" t="inlineStr">
        <is>
          <t>https://search.danawa.com/dsearch.php?query=%EC%86%8C%ED%98%95%20%EC%A0%9C%EC%8A%B5%EA%B8%B0%20%EC%9B%90%EB%A3%B8%20%ED%99%94%EC%9E%A5%EC%8B%A4</t>
        </is>
      </c>
      <c r="K110" s="23" t="inlineStr">
        <is>
          <t>광고 상품, 판매처 수 미표기</t>
        </is>
      </c>
    </row>
    <row r="111">
      <c r="A111" s="23" t="inlineStr">
        <is>
          <t>소형/미니 컴프레서 제습기</t>
        </is>
      </c>
      <c r="B111" s="23" t="inlineStr">
        <is>
          <t>보아르</t>
        </is>
      </c>
      <c r="C111" s="24" t="inlineStr">
        <is>
          <t>보아르 모아M600 미니 제습기</t>
        </is>
      </c>
      <c r="D111" s="23" t="inlineStr">
        <is>
          <t>모아M600</t>
        </is>
      </c>
      <c r="E111" s="23" t="inlineStr"/>
      <c r="F111" s="25" t="n">
        <v>52900</v>
      </c>
      <c r="G111" s="25" t="inlineStr"/>
      <c r="H111" s="24" t="inlineStr"/>
      <c r="I111" s="23" t="n">
        <v>0</v>
      </c>
      <c r="J111" s="24" t="inlineStr">
        <is>
          <t>https://search.danawa.com/dsearch.php?query=%EC%86%8C%ED%98%95%20%EC%A0%9C%EC%8A%B5%EA%B8%B0%20%EC%9B%90%EB%A3%B8%20%ED%99%94%EC%9E%A5%EC%8B%A4</t>
        </is>
      </c>
      <c r="K111" s="23" t="inlineStr">
        <is>
          <t>광고 상품, 판매처 수 미표기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2026-07-08T06:24:34Z</dcterms:created>
  <dcterms:modified xsi:type="dcterms:W3CDTF">2026-07-08T06:24:34Z</dcterms:modified>
</cp:coreProperties>
</file>