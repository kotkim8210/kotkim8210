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통합_소싱마진" sheetId="1" state="visible" r:id="rId1"/>
    <sheet name="사용법_및_판정" sheetId="2" state="visible" r:id="rId2"/>
    <sheet name="쿠팡실측_업로드원본"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맑은 고딕"/>
      <b val="1"/>
      <color rgb="00FFFFFF"/>
      <sz val="11"/>
    </font>
    <font>
      <name val="맑은 고딕"/>
      <i val="1"/>
      <color rgb="00404040"/>
      <sz val="9"/>
    </font>
    <font>
      <name val="맑은 고딕"/>
      <b val="1"/>
      <color rgb="00FFFFFF"/>
      <sz val="10"/>
    </font>
    <font>
      <name val="맑은 고딕"/>
      <color rgb="000563C1"/>
      <sz val="9"/>
      <u val="single"/>
    </font>
    <font>
      <name val="맑은 고딕"/>
      <sz val="10"/>
    </font>
    <font>
      <name val="맑은 고딕"/>
      <b val="1"/>
      <color rgb="001F3864"/>
      <sz val="13"/>
    </font>
    <font>
      <name val="맑은 고딕"/>
      <b val="1"/>
      <color rgb="001F3864"/>
      <sz val="11"/>
    </font>
  </fonts>
  <fills count="17">
    <fill>
      <patternFill/>
    </fill>
    <fill>
      <patternFill patternType="gray125"/>
    </fill>
    <fill>
      <patternFill patternType="solid">
        <fgColor rgb="001F3864"/>
      </patternFill>
    </fill>
    <fill>
      <patternFill patternType="solid">
        <fgColor rgb="00595959"/>
      </patternFill>
    </fill>
    <fill>
      <patternFill patternType="solid">
        <fgColor rgb="00BF8F00"/>
      </patternFill>
    </fill>
    <fill>
      <patternFill patternType="solid">
        <fgColor rgb="007F6000"/>
      </patternFill>
    </fill>
    <fill>
      <patternFill patternType="solid">
        <fgColor rgb="002E5496"/>
      </patternFill>
    </fill>
    <fill>
      <patternFill patternType="solid">
        <fgColor rgb="00C00000"/>
      </patternFill>
    </fill>
    <fill>
      <patternFill patternType="solid">
        <fgColor rgb="00806000"/>
      </patternFill>
    </fill>
    <fill>
      <patternFill patternType="solid">
        <fgColor rgb="00375623"/>
      </patternFill>
    </fill>
    <fill>
      <patternFill patternType="solid">
        <fgColor rgb="00F2F2F2"/>
      </patternFill>
    </fill>
    <fill>
      <patternFill patternType="solid">
        <fgColor rgb="00FFF2CC"/>
      </patternFill>
    </fill>
    <fill>
      <patternFill patternType="solid">
        <fgColor rgb="00FFFFFF"/>
      </patternFill>
    </fill>
    <fill>
      <patternFill patternType="solid">
        <fgColor rgb="00DDEBF7"/>
      </patternFill>
    </fill>
    <fill>
      <patternFill patternType="solid">
        <fgColor rgb="00E2EFDA"/>
      </patternFill>
    </fill>
    <fill>
      <patternFill patternType="solid">
        <fgColor rgb="00FCE4D6"/>
      </patternFill>
    </fill>
    <fill>
      <patternFill patternType="solid">
        <fgColor rgb="00F2F7E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left"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0" borderId="1" applyAlignment="1" pivotButton="0" quotePrefix="0" xfId="0">
      <alignment horizontal="left" vertical="center" wrapText="1"/>
    </xf>
    <xf numFmtId="3" fontId="5" fillId="11" borderId="1" applyAlignment="1" pivotButton="0" quotePrefix="0" xfId="0">
      <alignment horizontal="right" vertical="center"/>
    </xf>
    <xf numFmtId="0" fontId="4" fillId="12" borderId="1" applyAlignment="1" pivotButton="0" quotePrefix="0" xfId="0">
      <alignment horizontal="left" vertical="center" wrapText="1"/>
    </xf>
    <xf numFmtId="3" fontId="5" fillId="13" borderId="1" applyAlignment="1" pivotButton="0" quotePrefix="0" xfId="0">
      <alignment horizontal="right" vertical="center"/>
    </xf>
    <xf numFmtId="3" fontId="5" fillId="14" borderId="1" applyAlignment="1" pivotButton="0" quotePrefix="0" xfId="0">
      <alignment horizontal="right" vertical="center"/>
    </xf>
    <xf numFmtId="164" fontId="5" fillId="14" borderId="1" applyAlignment="1" pivotButton="0" quotePrefix="0" xfId="0">
      <alignment horizontal="right" vertical="center"/>
    </xf>
    <xf numFmtId="0" fontId="5" fillId="14" borderId="1" applyAlignment="1" pivotButton="0" quotePrefix="0" xfId="0">
      <alignment horizontal="center" vertical="center" wrapText="1"/>
    </xf>
    <xf numFmtId="0" fontId="5" fillId="15" borderId="1" applyAlignment="1" pivotButton="0" quotePrefix="0" xfId="0">
      <alignment horizontal="center" vertical="center" wrapText="1"/>
    </xf>
    <xf numFmtId="0" fontId="5" fillId="11" borderId="1" applyAlignment="1" pivotButton="0" quotePrefix="0" xfId="0">
      <alignment horizontal="left" vertical="center" wrapText="1"/>
    </xf>
    <xf numFmtId="0" fontId="5" fillId="16"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2" borderId="1" applyAlignment="1" pivotButton="0" quotePrefix="0" xfId="0">
      <alignment horizontal="left" vertical="center" wrapText="1"/>
    </xf>
    <xf numFmtId="0" fontId="6" fillId="0" borderId="0" applyAlignment="1" pivotButton="0" quotePrefix="0" xfId="0">
      <alignment horizontal="left" vertical="center" wrapText="1"/>
    </xf>
    <xf numFmtId="0" fontId="5" fillId="0" borderId="0" applyAlignment="1" pivotButton="0" quotePrefix="0" xfId="0">
      <alignment horizontal="left" vertical="center" wrapText="1"/>
    </xf>
    <xf numFmtId="0" fontId="7" fillId="0" borderId="0"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3" fontId="5" fillId="0" borderId="1" applyAlignment="1" pivotButton="0" quotePrefix="0" xfId="0">
      <alignment horizontal="center" vertical="center" wrapText="1"/>
    </xf>
  </cellXfs>
  <cellStyles count="1">
    <cellStyle name="Normal" xfId="0" builtinId="0" hidden="0"/>
  </cellStyles>
  <dxfs count="4">
    <dxf>
      <font>
        <name val="맑은 고딕"/>
        <b val="1"/>
        <color rgb="00006100"/>
      </font>
      <fill>
        <patternFill patternType="solid">
          <fgColor rgb="00C6EFCE"/>
        </patternFill>
      </fill>
    </dxf>
    <dxf>
      <font>
        <name val="맑은 고딕"/>
        <color rgb="009C0006"/>
      </font>
      <fill>
        <patternFill patternType="solid">
          <fgColor rgb="00FFC7CE"/>
        </patternFill>
      </fill>
    </dxf>
    <dxf>
      <font>
        <name val="맑은 고딕"/>
        <b val="1"/>
        <color rgb="00FFFFFF"/>
      </font>
      <fill>
        <patternFill patternType="solid">
          <fgColor rgb="0063BE7B"/>
        </patternFill>
      </fill>
    </dxf>
    <dxf>
      <font>
        <name val="맑은 고딕"/>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danawa.com/dsearch.php?query=%EC%BA%90%EB%A6%AC%EC%96%B4%20%EC%A0%9C%EC%8A%B5%EA%B8%B0%2016L" TargetMode="External" Id="rId1" /><Relationship Type="http://schemas.openxmlformats.org/officeDocument/2006/relationships/hyperlink" Target="https://www.coupang.com/vp/products/8051673398" TargetMode="External" Id="rId2" /><Relationship Type="http://schemas.openxmlformats.org/officeDocument/2006/relationships/hyperlink" Target="https://search.danawa.com/dsearch.php?query=%EC%9C%84%EB%8B%88%EC%95%84%20%EC%A0%9C%EC%8A%B5%EA%B8%B0" TargetMode="External" Id="rId3" /><Relationship Type="http://schemas.openxmlformats.org/officeDocument/2006/relationships/hyperlink" Target="https://www.coupang.com/vp/products/7360336252" TargetMode="External" Id="rId4" /><Relationship Type="http://schemas.openxmlformats.org/officeDocument/2006/relationships/hyperlink" Target="https://search.danawa.com/dsearch.php?k1=DQ160PPBC" TargetMode="External" Id="rId5" /><Relationship Type="http://schemas.openxmlformats.org/officeDocument/2006/relationships/hyperlink" Target="https://www.coupang.com/vp/products/1434711781" TargetMode="External" Id="rId6" /><Relationship Type="http://schemas.openxmlformats.org/officeDocument/2006/relationships/hyperlink" Target="https://search.danawa.com/dsearch.php?k1=%EC%BA%90%EB%A6%AC%EC%96%B4+16L+1%EB%93%B1%EA%B8%89+%EC%A0%9C%EC%8A%B5%EA%B8%B0" TargetMode="External" Id="rId7" /><Relationship Type="http://schemas.openxmlformats.org/officeDocument/2006/relationships/hyperlink" Target="https://www.coupang.com/vp/products/9478744145" TargetMode="External" Id="rId8" /><Relationship Type="http://schemas.openxmlformats.org/officeDocument/2006/relationships/hyperlink" Target="https://search.danawa.com/dsearch.php?k1=%EC%9C%84%EB%8B%89%EC%8A%A4+16L+%EC%A0%9C%EC%8A%B5%EA%B8%B0" TargetMode="External" Id="rId9" /><Relationship Type="http://schemas.openxmlformats.org/officeDocument/2006/relationships/hyperlink" Target="https://www.coupang.com/vp/products/7887360211?itemId=21583749676&amp;vendorItemId=94950976792" TargetMode="External" Id="rId10" /><Relationship Type="http://schemas.openxmlformats.org/officeDocument/2006/relationships/hyperlink" Target="https://search.danawa.com/dsearch.php?k1=%EC%96%B4%EB%9D%BC%EC%9A%B4%EB%93%9C+12L+%EC%A0%9C%EC%8A%B5%EA%B8%B0" TargetMode="External" Id="rId11" /><Relationship Type="http://schemas.openxmlformats.org/officeDocument/2006/relationships/hyperlink" Target="https://www.coupang.com/vp/products/6714245064" TargetMode="External" Id="rId12" /><Relationship Type="http://schemas.openxmlformats.org/officeDocument/2006/relationships/hyperlink" Target="https://search.danawa.com/dsearch.php?query=LG%20%ED%9C%98%EC%84%BC%20%EC%A0%9C%EC%8A%B5%EA%B8%B0" TargetMode="External" Id="rId13" /><Relationship Type="http://schemas.openxmlformats.org/officeDocument/2006/relationships/hyperlink" Target="https://www.coupang.com/vp/products/9100360785" TargetMode="External" Id="rId14" /><Relationship Type="http://schemas.openxmlformats.org/officeDocument/2006/relationships/hyperlink" Target="https://prod.danawa.com/info/?pcode=122726455" TargetMode="External" Id="rId15" /><Relationship Type="http://schemas.openxmlformats.org/officeDocument/2006/relationships/hyperlink" Target="https://www.coupang.com/vp/products/8542726381" TargetMode="External" Id="rId16" /><Relationship Type="http://schemas.openxmlformats.org/officeDocument/2006/relationships/hyperlink" Target="https://search.danawa.com/dsearch.php?k1=HE-D720W" TargetMode="External" Id="rId17" /><Relationship Type="http://schemas.openxmlformats.org/officeDocument/2006/relationships/hyperlink" Target="https://www.coupang.com/vp/products/9461649474" TargetMode="External" Id="rId18" /><Relationship Type="http://schemas.openxmlformats.org/officeDocument/2006/relationships/hyperlink" Target="https://search.danawa.com/dsearch.php?k1=%EC%94%BD%ED%81%AC%EC%97%90%EC%96%B4+12L+%EC%A0%9C%EC%8A%B5%EA%B8%B0" TargetMode="External" Id="rId19" /><Relationship Type="http://schemas.openxmlformats.org/officeDocument/2006/relationships/hyperlink" Target="https://www.coupang.com/vp/products/5794887762" TargetMode="External" Id="rId20" /><Relationship Type="http://schemas.openxmlformats.org/officeDocument/2006/relationships/hyperlink" Target="https://search.danawa.com/dsearch.php?k1=SD-20L+%EC%A0%9C%EC%8A%B5%EA%B8%B0" TargetMode="External" Id="rId21" /><Relationship Type="http://schemas.openxmlformats.org/officeDocument/2006/relationships/hyperlink" Target="https://www.coupang.com/vp/products/8787273036" TargetMode="External" Id="rId22" /><Relationship Type="http://schemas.openxmlformats.org/officeDocument/2006/relationships/hyperlink" Target="https://search.danawa.com/dsearch.php?k1=%ED%99%88%ED%94%8C%EB%9E%98%EB%8B%9B+20L+%EC%A0%9C%EC%8A%B5%EA%B8%B0" TargetMode="External" Id="rId23" /><Relationship Type="http://schemas.openxmlformats.org/officeDocument/2006/relationships/hyperlink" Target="https://www.coupang.com/vp/products/4833430379" TargetMode="External" Id="rId24" /><Relationship Type="http://schemas.openxmlformats.org/officeDocument/2006/relationships/hyperlink" Target="https://search.danawa.com/dsearch.php?k1=LM-CSJ-01" TargetMode="External" Id="rId25" /><Relationship Type="http://schemas.openxmlformats.org/officeDocument/2006/relationships/hyperlink" Target="https://www.coupang.com/vp/products/9442303907?itemId=28085160581&amp;vendorItemId=95502042063" TargetMode="External" Id="rId26" /><Relationship Type="http://schemas.openxmlformats.org/officeDocument/2006/relationships/hyperlink" Target="https://search.danawa.com/dsearch.php?query=%ED%99%88%ED%94%8C%EB%9E%98%EB%8B%9B%20%EC%A0%9C%EC%8A%B5%EA%B8%B0" TargetMode="External" Id="rId27" /><Relationship Type="http://schemas.openxmlformats.org/officeDocument/2006/relationships/hyperlink" Target="https://www.coupang.com/np/search?q=T8" TargetMode="External" Id="rId28" /><Relationship Type="http://schemas.openxmlformats.org/officeDocument/2006/relationships/hyperlink" Target="https://search.danawa.com/dsearch.php?query=%ED%95%9C%EA%B2%BD%ED%9D%AC%20%EC%A0%9C%EC%8A%B5%EA%B8%B0" TargetMode="External" Id="rId29" /><Relationship Type="http://schemas.openxmlformats.org/officeDocument/2006/relationships/hyperlink" Target="https://www.coupang.com/np/search?q=HD-1500" TargetMode="External" Id="rId30" /><Relationship Type="http://schemas.openxmlformats.org/officeDocument/2006/relationships/hyperlink" Target="https://search.danawa.com/dsearch.php?query=%EC%8B%A0%EC%9D%BC%20%EC%A0%9C%EC%8A%B5%EA%B8%B0" TargetMode="External" Id="rId31" /><Relationship Type="http://schemas.openxmlformats.org/officeDocument/2006/relationships/hyperlink" Target="https://www.coupang.com/np/search?q=SDH-WIN326KP" TargetMode="External" Id="rId32" /><Relationship Type="http://schemas.openxmlformats.org/officeDocument/2006/relationships/hyperlink" Target="https://search.danawa.com/dsearch.php?query=%EB%B3%B4%EC%95%84%EB%A5%B4%20%EC%A0%9C%EC%8A%B5%EA%B8%B0" TargetMode="External" Id="rId33" /><Relationship Type="http://schemas.openxmlformats.org/officeDocument/2006/relationships/hyperlink" Target="https://www.coupang.com/np/search?q=VO-DH004" TargetMode="External" Id="rId34" /><Relationship Type="http://schemas.openxmlformats.org/officeDocument/2006/relationships/hyperlink" Target="https://search.danawa.com/dsearch.php?query=%EB%B3%B4%EC%95%84%EB%A5%B4%20%EC%A0%9C%EC%8A%B5%EA%B8%B0" TargetMode="External" Id="rId35" /><Relationship Type="http://schemas.openxmlformats.org/officeDocument/2006/relationships/hyperlink" Target="https://www.coupang.com/np/search?q=VO-DH002" TargetMode="External" Id="rId36" /><Relationship Type="http://schemas.openxmlformats.org/officeDocument/2006/relationships/hyperlink" Target="https://search.danawa.com/dsearch.php?query=%ED%99%88%ED%94%8C%EB%9E%98%EB%8B%9B%20%EC%A0%9C%EC%8A%B5%EA%B8%B0" TargetMode="External" Id="rId37" /><Relationship Type="http://schemas.openxmlformats.org/officeDocument/2006/relationships/hyperlink" Target="https://www.coupang.com/np/search?q=NEK-DH0612L" TargetMode="External" Id="rId38" /><Relationship Type="http://schemas.openxmlformats.org/officeDocument/2006/relationships/hyperlink" Target="https://search.danawa.com/dsearch.php?query=%EC%BF%A0%EC%BF%A0%20%EC%A0%9C%EC%8A%B5%EA%B8%B0" TargetMode="External" Id="rId39" /><Relationship Type="http://schemas.openxmlformats.org/officeDocument/2006/relationships/hyperlink" Target="https://www.coupang.com/np/search?q=DH-V06201EB" TargetMode="External" Id="rId40" /><Relationship Type="http://schemas.openxmlformats.org/officeDocument/2006/relationships/hyperlink" Target="https://search.danawa.com/dsearch.php?query=%ED%95%9C%EA%B2%BD%ED%9D%AC%20%EC%A0%9C%EC%8A%B5%EA%B8%B0" TargetMode="External" Id="rId41" /><Relationship Type="http://schemas.openxmlformats.org/officeDocument/2006/relationships/hyperlink" Target="https://www.coupang.com/np/search?q=HE-D781" TargetMode="External" Id="rId42" /><Relationship Type="http://schemas.openxmlformats.org/officeDocument/2006/relationships/hyperlink" Target="https://search.danawa.com/dsearch.php?query=%ED%95%9C%EA%B2%BD%ED%9D%AC%20%EC%A0%9C%EC%8A%B5%EA%B8%B0" TargetMode="External" Id="rId43" /><Relationship Type="http://schemas.openxmlformats.org/officeDocument/2006/relationships/hyperlink" Target="https://www.coupang.com/np/search?q=HE-D780" TargetMode="External" Id="rId44" /><Relationship Type="http://schemas.openxmlformats.org/officeDocument/2006/relationships/hyperlink" Target="https://search.danawa.com/dsearch.php?query=%ED%95%9C%EA%B2%BD%ED%9D%AC%20%EC%A0%9C%EC%8A%B5%EA%B8%B0" TargetMode="External" Id="rId45" /><Relationship Type="http://schemas.openxmlformats.org/officeDocument/2006/relationships/hyperlink" Target="https://www.coupang.com/np/search?q=HEHD-B0712WTN" TargetMode="External" Id="rId46" /><Relationship Type="http://schemas.openxmlformats.org/officeDocument/2006/relationships/hyperlink" Target="https://search.danawa.com/dsearch.php?query=%EB%B3%B4%EC%95%84%EB%A5%B4%20%EC%A0%9C%EC%8A%B5%EA%B8%B0" TargetMode="External" Id="rId47" /><Relationship Type="http://schemas.openxmlformats.org/officeDocument/2006/relationships/hyperlink" Target="https://www.coupang.com/np/search?q=VO-DE001" TargetMode="External" Id="rId48" /><Relationship Type="http://schemas.openxmlformats.org/officeDocument/2006/relationships/hyperlink" Target="https://search.danawa.com/dsearch.php?query=%EC%A0%9C%EB%8B%88%ED%8D%BC%EB%A3%B8%20%EC%A0%9C%EC%8A%B5%EA%B8%B0" TargetMode="External" Id="rId49" /><Relationship Type="http://schemas.openxmlformats.org/officeDocument/2006/relationships/hyperlink" Target="https://www.coupang.com/np/search?q=JR-DH2001" TargetMode="External" Id="rId50" /><Relationship Type="http://schemas.openxmlformats.org/officeDocument/2006/relationships/hyperlink" Target="https://search.danawa.com/dsearch.php?query=%EC%8B%A0%EC%9D%BC%20%EC%A0%9C%EC%8A%B5%EA%B8%B0" TargetMode="External" Id="rId51" /><Relationship Type="http://schemas.openxmlformats.org/officeDocument/2006/relationships/hyperlink" Target="https://www.coupang.com/np/search?q=SDH-C06SS" TargetMode="External" Id="rId52" /><Relationship Type="http://schemas.openxmlformats.org/officeDocument/2006/relationships/hyperlink" Target="https://search.danawa.com/dsearch.php?query=%ED%8C%8C%EC%84%B8%EC%BD%94%20%EC%A0%9C%EC%8A%B5%EA%B8%B0" TargetMode="External" Id="rId53" /><Relationship Type="http://schemas.openxmlformats.org/officeDocument/2006/relationships/hyperlink" Target="https://www.coupang.com/np/search?q=PDH-12251W" TargetMode="External" Id="rId54" /><Relationship Type="http://schemas.openxmlformats.org/officeDocument/2006/relationships/hyperlink" Target="https://search.danawa.com/dsearch.php?query=%EC%A0%9C%EB%8B%88%ED%8D%BC%EB%A3%B8%20%EC%A0%9C%EC%8A%B5%EA%B8%B0" TargetMode="External" Id="rId55" /><Relationship Type="http://schemas.openxmlformats.org/officeDocument/2006/relationships/hyperlink" Target="https://www.coupang.com/np/search?q=JRG-DH0801" TargetMode="External" Id="rId56" /><Relationship Type="http://schemas.openxmlformats.org/officeDocument/2006/relationships/hyperlink" Target="https://prod.danawa.com/info/?pcode=95420954" TargetMode="External" Id="rId57" /><Relationship Type="http://schemas.openxmlformats.org/officeDocument/2006/relationships/hyperlink" Target="https://www.coupang.com/np/search?q=NQ12SACNWA" TargetMode="External" Id="rId58" /><Relationship Type="http://schemas.openxmlformats.org/officeDocument/2006/relationships/hyperlink" Target="https://search.danawa.com/dsearch.php?query=%ED%8C%8C%EC%84%B8%EC%BD%94%20%EC%A0%9C%EC%8A%B5%EA%B8%B0" TargetMode="External" Id="rId59" /><Relationship Type="http://schemas.openxmlformats.org/officeDocument/2006/relationships/hyperlink" Target="https://www.coupang.com/np/search?q=PDH-12241W" TargetMode="External" Id="rId60" /><Relationship Type="http://schemas.openxmlformats.org/officeDocument/2006/relationships/hyperlink" Target="https://search.danawa.com/dsearch.php?query=%ED%99%88%ED%94%8C%EB%9E%98%EB%8B%9B%20%EC%A0%9C%EC%8A%B5%EA%B8%B0" TargetMode="External" Id="rId61" /><Relationship Type="http://schemas.openxmlformats.org/officeDocument/2006/relationships/hyperlink" Target="https://www.coupang.com/np/search?q=PD08A" TargetMode="External" Id="rId62" /><Relationship Type="http://schemas.openxmlformats.org/officeDocument/2006/relationships/hyperlink" Target="https://search.danawa.com/dsearch.php?query=%ED%95%9C%EA%B2%BD%ED%9D%AC%20%EC%A0%9C%EC%8A%B5%EA%B8%B0" TargetMode="External" Id="rId63" /><Relationship Type="http://schemas.openxmlformats.org/officeDocument/2006/relationships/hyperlink" Target="https://www.coupang.com/np/search?q=HEDH-B1890" TargetMode="External" Id="rId64" /><Relationship Type="http://schemas.openxmlformats.org/officeDocument/2006/relationships/hyperlink" Target="https://search.danawa.com/dsearch.php?query=%EC%BA%90%EB%A6%AC%EC%96%B4%20%EC%A0%9C%EC%8A%B5%EA%B8%B0%2016L" TargetMode="External" Id="rId65" /><Relationship Type="http://schemas.openxmlformats.org/officeDocument/2006/relationships/hyperlink" Target="https://www.coupang.com/np/search?q=YCDHM-C016LROW" TargetMode="External" Id="rId66" /><Relationship Type="http://schemas.openxmlformats.org/officeDocument/2006/relationships/hyperlink" Target="https://search.danawa.com/dsearch.php?query=%EC%BA%90%EB%A6%AC%EC%96%B4%20%EC%A0%9C%EC%8A%B5%EA%B8%B0%2016L" TargetMode="External" Id="rId67" /><Relationship Type="http://schemas.openxmlformats.org/officeDocument/2006/relationships/hyperlink" Target="https://www.coupang.com/np/search?q=YCDHM-C016LRAW" TargetMode="External" Id="rId68" /><Relationship Type="http://schemas.openxmlformats.org/officeDocument/2006/relationships/hyperlink" Target="https://search.danawa.com/dsearch.php?query=%ED%95%9C%EA%B2%BD%ED%9D%AC%20%EC%A0%9C%EC%8A%B5%EA%B8%B0" TargetMode="External" Id="rId69" /><Relationship Type="http://schemas.openxmlformats.org/officeDocument/2006/relationships/hyperlink" Target="https://www.coupang.com/np/search?q=HEHD-B0712WT" TargetMode="External" Id="rId70" /><Relationship Type="http://schemas.openxmlformats.org/officeDocument/2006/relationships/hyperlink" Target="https://search.danawa.com/dsearch.php?query=%ED%8C%8C%EC%84%B8%EC%BD%94%20%EC%A0%9C%EC%8A%B5%EA%B8%B0" TargetMode="External" Id="rId71" /><Relationship Type="http://schemas.openxmlformats.org/officeDocument/2006/relationships/hyperlink" Target="https://www.coupang.com/np/search?q=PDH-2025FW" TargetMode="External" Id="rId72" /><Relationship Type="http://schemas.openxmlformats.org/officeDocument/2006/relationships/hyperlink" Target="https://search.danawa.com/dsearch.php?query=%ED%8C%8C%EC%84%B8%EC%BD%94%20%EC%A0%9C%EC%8A%B5%EA%B8%B0" TargetMode="External" Id="rId73" /><Relationship Type="http://schemas.openxmlformats.org/officeDocument/2006/relationships/hyperlink" Target="https://www.coupang.com/np/search?q=PDH-16251W" TargetMode="External" Id="rId74" /><Relationship Type="http://schemas.openxmlformats.org/officeDocument/2006/relationships/hyperlink" Target="https://search.danawa.com/dsearch.php?query=%ED%95%9C%EA%B2%BD%ED%9D%AC%20%EC%A0%9C%EC%8A%B5%EA%B8%B0" TargetMode="External" Id="rId75" /><Relationship Type="http://schemas.openxmlformats.org/officeDocument/2006/relationships/hyperlink" Target="https://www.coupang.com/np/search?q=HE-D720" TargetMode="External" Id="rId76" /><Relationship Type="http://schemas.openxmlformats.org/officeDocument/2006/relationships/hyperlink" Target="https://search.danawa.com/dsearch.php?query=%EC%BA%90%EB%A6%AC%EC%96%B4%20%EC%A0%9C%EC%8A%B5%EA%B8%B0%2016L" TargetMode="External" Id="rId77" /><Relationship Type="http://schemas.openxmlformats.org/officeDocument/2006/relationships/hyperlink" Target="https://www.coupang.com/np/search?q=CDHC-160AAMWOYH" TargetMode="External" Id="rId78" /><Relationship Type="http://schemas.openxmlformats.org/officeDocument/2006/relationships/hyperlink" Target="https://search.danawa.com/dsearch.php?query=%EC%8B%A0%EC%9D%BC%20%EC%A0%9C%EC%8A%B5%EA%B8%B0" TargetMode="External" Id="rId79" /><Relationship Type="http://schemas.openxmlformats.org/officeDocument/2006/relationships/hyperlink" Target="https://www.coupang.com/np/search?q=SDH-PM230" TargetMode="External" Id="rId80" /><Relationship Type="http://schemas.openxmlformats.org/officeDocument/2006/relationships/hyperlink" Target="https://search.danawa.com/dsearch.php?query=%EC%9C%84%EB%8B%88%EC%95%84%20%EC%A0%9C%EC%8A%B5%EA%B8%B0" TargetMode="External" Id="rId81" /><Relationship Type="http://schemas.openxmlformats.org/officeDocument/2006/relationships/hyperlink" Target="https://www.coupang.com/np/search?q=DCE118SWJ(A)" TargetMode="External" Id="rId82" /><Relationship Type="http://schemas.openxmlformats.org/officeDocument/2006/relationships/hyperlink" Target="https://prod.danawa.com/info/?pcode=40018130" TargetMode="External" Id="rId83" /><Relationship Type="http://schemas.openxmlformats.org/officeDocument/2006/relationships/hyperlink" Target="https://www.coupang.com/np/search?q=DXAE120-NEK" TargetMode="External" Id="rId84" /><Relationship Type="http://schemas.openxmlformats.org/officeDocument/2006/relationships/hyperlink" Target="https://search.danawa.com/dsearch.php?query=%EB%B3%B4%EC%95%84%EB%A5%B4%20%EC%A0%9C%EC%8A%B5%EA%B8%B0" TargetMode="External" Id="rId85" /><Relationship Type="http://schemas.openxmlformats.org/officeDocument/2006/relationships/hyperlink" Target="https://www.coupang.com/np/search?q=VO-DH005" TargetMode="External" Id="rId86" /><Relationship Type="http://schemas.openxmlformats.org/officeDocument/2006/relationships/hyperlink" Target="https://search.danawa.com/dsearch.php?query=%EC%9C%84%EB%8B%89%EC%8A%A4%20%EC%A0%9C%EC%8A%B5%EA%B8%B0%2010L" TargetMode="External" Id="rId87" /><Relationship Type="http://schemas.openxmlformats.org/officeDocument/2006/relationships/hyperlink" Target="https://www.coupang.com/np/search?q=DXTM100-KWK" TargetMode="External" Id="rId88" /><Relationship Type="http://schemas.openxmlformats.org/officeDocument/2006/relationships/hyperlink" Target="https://search.danawa.com/dsearch.php?query=%EC%9C%84%EB%8B%89%EC%8A%A4%20%EB%BD%80%EC%86%A1%2016L%20%EC%A0%9C%EC%8A%B5%EA%B8%B0" TargetMode="External" Id="rId89" /><Relationship Type="http://schemas.openxmlformats.org/officeDocument/2006/relationships/hyperlink" Target="https://www.coupang.com/np/search?q=DCVE160-PEK" TargetMode="External" Id="rId90" /><Relationship Type="http://schemas.openxmlformats.org/officeDocument/2006/relationships/hyperlink" Target="https://search.danawa.com/dsearch.php?query=%EC%BA%90%EB%A6%AC%EC%96%B4%20%EC%A0%9C%EC%8A%B5%EA%B8%B0%2016L" TargetMode="External" Id="rId91" /><Relationship Type="http://schemas.openxmlformats.org/officeDocument/2006/relationships/hyperlink" Target="https://www.coupang.com/np/search?q=CDHC-160AYLWWYH" TargetMode="External" Id="rId92" /><Relationship Type="http://schemas.openxmlformats.org/officeDocument/2006/relationships/hyperlink" Target="https://search.danawa.com/dsearch.php?query=%EC%BA%90%EB%A6%AC%EC%96%B4%20%EC%A0%9C%EC%8A%B5%EA%B8%B0%2020L" TargetMode="External" Id="rId93" /><Relationship Type="http://schemas.openxmlformats.org/officeDocument/2006/relationships/hyperlink" Target="https://www.coupang.com/np/search?q=CDHC-200AXMWOYH" TargetMode="External" Id="rId94" /><Relationship Type="http://schemas.openxmlformats.org/officeDocument/2006/relationships/hyperlink" Target="https://search.danawa.com/dsearch.php?query=%EC%8B%A0%EC%9D%BC%20%EC%A0%9C%EC%8A%B5%EA%B8%B0" TargetMode="External" Id="rId95" /><Relationship Type="http://schemas.openxmlformats.org/officeDocument/2006/relationships/hyperlink" Target="https://www.coupang.com/np/search?q=SDH-170SS" TargetMode="External" Id="rId96" /><Relationship Type="http://schemas.openxmlformats.org/officeDocument/2006/relationships/hyperlink" Target="https://search.danawa.com/dsearch.php?query=%EC%BF%A0%EC%BF%A0%20%EC%A0%9C%EC%8A%B5%EA%B8%B0" TargetMode="External" Id="rId97" /><Relationship Type="http://schemas.openxmlformats.org/officeDocument/2006/relationships/hyperlink" Target="https://www.coupang.com/np/search?q=DH-Y1652FNW" TargetMode="External" Id="rId98" /><Relationship Type="http://schemas.openxmlformats.org/officeDocument/2006/relationships/hyperlink" Target="https://search.danawa.com/dsearch.php?query=%EC%BA%90%EB%A6%AC%EC%96%B4%20%EC%A0%9C%EC%8A%B5%EA%B8%B0%2016L" TargetMode="External" Id="rId99" /><Relationship Type="http://schemas.openxmlformats.org/officeDocument/2006/relationships/hyperlink" Target="https://www.coupang.com/np/search?q=CDHC-160AYLLYYH" TargetMode="External" Id="rId100" /><Relationship Type="http://schemas.openxmlformats.org/officeDocument/2006/relationships/hyperlink" Target="https://search.danawa.com/dsearch.php?query=%EC%BA%90%EB%A6%AC%EC%96%B4%20%EC%A0%9C%EC%8A%B5%EA%B8%B0%2020L" TargetMode="External" Id="rId101" /><Relationship Type="http://schemas.openxmlformats.org/officeDocument/2006/relationships/hyperlink" Target="https://www.coupang.com/np/search?q=CDHC-200AYMLOYH" TargetMode="External" Id="rId102" /><Relationship Type="http://schemas.openxmlformats.org/officeDocument/2006/relationships/hyperlink" Target="https://search.danawa.com/dsearch.php?query=%EC%9C%84%EB%8B%89%EC%8A%A4%20%EC%A0%9C%EC%8A%B5%EA%B8%B0%2010L" TargetMode="External" Id="rId103" /><Relationship Type="http://schemas.openxmlformats.org/officeDocument/2006/relationships/hyperlink" Target="https://www.coupang.com/np/search?q=DXAH100-JWK" TargetMode="External" Id="rId104" /><Relationship Type="http://schemas.openxmlformats.org/officeDocument/2006/relationships/hyperlink" Target="https://search.danawa.com/dsearch.php?query=%EC%A0%9C%EB%8B%88%ED%8D%BC%EB%A3%B8%20%EC%A0%9C%EC%8A%B5%EA%B8%B0" TargetMode="External" Id="rId105" /><Relationship Type="http://schemas.openxmlformats.org/officeDocument/2006/relationships/hyperlink" Target="https://www.coupang.com/np/search?q=JR-DH0001WH" TargetMode="External" Id="rId106" /><Relationship Type="http://schemas.openxmlformats.org/officeDocument/2006/relationships/hyperlink" Target="https://search.danawa.com/dsearch.php?query=%EC%9C%84%EB%8B%89%EC%8A%A4%20%EC%A0%9C%EC%8A%B5%EA%B8%B0%2010L" TargetMode="External" Id="rId107" /><Relationship Type="http://schemas.openxmlformats.org/officeDocument/2006/relationships/hyperlink" Target="https://www.coupang.com/np/search?q=DXAH100-IWK" TargetMode="External" Id="rId108" /><Relationship Type="http://schemas.openxmlformats.org/officeDocument/2006/relationships/hyperlink" Target="https://search.danawa.com/dsearch.php?query=%EC%BA%90%EB%A6%AC%EC%96%B4%20%EC%A0%9C%EC%8A%B5%EA%B8%B0%2020L" TargetMode="External" Id="rId109" /><Relationship Type="http://schemas.openxmlformats.org/officeDocument/2006/relationships/hyperlink" Target="https://www.coupang.com/np/search?q=CDHC-200AYMAEYH" TargetMode="External" Id="rId110" /><Relationship Type="http://schemas.openxmlformats.org/officeDocument/2006/relationships/hyperlink" Target="https://prod.danawa.com/info/?pcode=122659927" TargetMode="External" Id="rId111" /><Relationship Type="http://schemas.openxmlformats.org/officeDocument/2006/relationships/hyperlink" Target="https://www.coupang.com/np/search?q=DSD-6210W" TargetMode="External" Id="rId112" /><Relationship Type="http://schemas.openxmlformats.org/officeDocument/2006/relationships/hyperlink" Target="https://search.danawa.com/dsearch.php?query=%EC%BA%90%EB%A6%AC%EC%96%B4%20%EC%A0%9C%EC%8A%B5%EA%B8%B0%2020L" TargetMode="External" Id="rId113" /><Relationship Type="http://schemas.openxmlformats.org/officeDocument/2006/relationships/hyperlink" Target="https://www.coupang.com/np/search?q=CDHM-C020LMOB" TargetMode="External" Id="rId114" /><Relationship Type="http://schemas.openxmlformats.org/officeDocument/2006/relationships/hyperlink" Target="https://search.danawa.com/dsearch.php?query=%EC%BA%90%EB%A6%AC%EC%96%B4%20%EC%A0%9C%EC%8A%B5%EA%B8%B0%2016L" TargetMode="External" Id="rId115" /><Relationship Type="http://schemas.openxmlformats.org/officeDocument/2006/relationships/hyperlink" Target="https://www.coupang.com/np/search?q=CDHC-160AYLLEYH" TargetMode="External" Id="rId116" /><Relationship Type="http://schemas.openxmlformats.org/officeDocument/2006/relationships/hyperlink" Target="https://search.danawa.com/dsearch.php?query=%EB%B3%B4%EC%95%84%EB%A5%B4%20%EC%A0%9C%EC%8A%B5%EA%B8%B0" TargetMode="External" Id="rId117" /><Relationship Type="http://schemas.openxmlformats.org/officeDocument/2006/relationships/hyperlink" Target="https://www.coupang.com/np/search?q=VO-DE002" TargetMode="External" Id="rId118" /><Relationship Type="http://schemas.openxmlformats.org/officeDocument/2006/relationships/hyperlink" Target="https://search.danawa.com/dsearch.php?query=%ED%99%88%ED%94%8C%EB%9E%98%EB%8B%9B%20%EC%A0%9C%EC%8A%B5%EA%B8%B0" TargetMode="External" Id="rId119" /><Relationship Type="http://schemas.openxmlformats.org/officeDocument/2006/relationships/hyperlink" Target="https://www.coupang.com/np/search?q=PD10A" TargetMode="External" Id="rId120" /><Relationship Type="http://schemas.openxmlformats.org/officeDocument/2006/relationships/hyperlink" Target="https://search.danawa.com/dsearch.php?query=%EC%9C%84%EB%8B%89%EC%8A%A4%20%EC%A0%9C%EC%8A%B5%EA%B8%B0%2010L" TargetMode="External" Id="rId121" /><Relationship Type="http://schemas.openxmlformats.org/officeDocument/2006/relationships/hyperlink" Target="https://www.coupang.com/np/search?q=DXAE100-JWK" TargetMode="External" Id="rId122" /><Relationship Type="http://schemas.openxmlformats.org/officeDocument/2006/relationships/hyperlink" Target="https://search.danawa.com/dsearch.php?query=%EC%A0%9C%EB%8B%88%ED%8D%BC%EB%A3%B8%20%EC%A0%9C%EC%8A%B5%EA%B8%B0" TargetMode="External" Id="rId123" /><Relationship Type="http://schemas.openxmlformats.org/officeDocument/2006/relationships/hyperlink" Target="https://www.coupang.com/np/search?q=JRG-DH1801WH" TargetMode="External" Id="rId124" /><Relationship Type="http://schemas.openxmlformats.org/officeDocument/2006/relationships/hyperlink" Target="https://search.danawa.com/dsearch.php?query=%EC%BA%90%EB%A6%AC%EC%96%B4%20%EC%A0%9C%EC%8A%B5%EA%B8%B0%2020L" TargetMode="External" Id="rId125" /><Relationship Type="http://schemas.openxmlformats.org/officeDocument/2006/relationships/hyperlink" Target="https://www.coupang.com/np/search?q=CDHC-200AXLWAYH" TargetMode="External" Id="rId126" /><Relationship Type="http://schemas.openxmlformats.org/officeDocument/2006/relationships/hyperlink" Target="https://search.danawa.com/dsearch.php?query=%EC%9C%84%EB%8B%89%EC%8A%A4%20%EB%BD%80%EC%86%A1%2016L%20%EC%A0%9C%EC%8A%B5%EA%B8%B0" TargetMode="External" Id="rId127" /><Relationship Type="http://schemas.openxmlformats.org/officeDocument/2006/relationships/hyperlink" Target="https://www.coupang.com/vp/products/8700448063?itemId=25264814625&amp;vendorItemId=92260639144" TargetMode="External" Id="rId128" /><Relationship Type="http://schemas.openxmlformats.org/officeDocument/2006/relationships/hyperlink" Target="https://search.danawa.com/dsearch.php?query=%EC%9C%84%EB%8B%89%EC%8A%A4%20%EB%BD%80%EC%86%A1%2016L%20%EC%A0%9C%EC%8A%B5%EA%B8%B0" TargetMode="External" Id="rId129" /><Relationship Type="http://schemas.openxmlformats.org/officeDocument/2006/relationships/hyperlink" Target="https://www.coupang.com/vp/products/8100392296?itemId=22907825894&amp;vendorItemId=89981386101" TargetMode="External" Id="rId130" /><Relationship Type="http://schemas.openxmlformats.org/officeDocument/2006/relationships/hyperlink" Target="https://search.danawa.com/dsearch.php?query=%EC%9C%84%EB%8B%89%EC%8A%A4%20%EC%A0%9C%EC%8A%B5%EA%B8%B0%2010L" TargetMode="External" Id="rId131" /><Relationship Type="http://schemas.openxmlformats.org/officeDocument/2006/relationships/hyperlink" Target="https://www.coupang.com/np/search?q=DXTE100-KWK" TargetMode="External" Id="rId132" /><Relationship Type="http://schemas.openxmlformats.org/officeDocument/2006/relationships/hyperlink" Target="https://search.danawa.com/dsearch.php?query=%EC%8B%A0%EC%9D%BC%20%EC%A0%9C%EC%8A%B5%EA%B8%B0" TargetMode="External" Id="rId133" /><Relationship Type="http://schemas.openxmlformats.org/officeDocument/2006/relationships/hyperlink" Target="https://www.coupang.com/np/search?q=SDH-SD19ERE" TargetMode="External" Id="rId134" /><Relationship Type="http://schemas.openxmlformats.org/officeDocument/2006/relationships/hyperlink" Target="https://search.danawa.com/dsearch.php?query=%EC%9C%84%EB%8B%89%EC%8A%A4%20%EC%A0%9C%EC%8A%B5%EA%B8%B0%2010L" TargetMode="External" Id="rId135" /><Relationship Type="http://schemas.openxmlformats.org/officeDocument/2006/relationships/hyperlink" Target="https://www.coupang.com/np/search?q=DXTC100-MMK" TargetMode="External" Id="rId136" /><Relationship Type="http://schemas.openxmlformats.org/officeDocument/2006/relationships/hyperlink" Target="https://search.danawa.com/dsearch.php?query=%EC%BA%90%EB%A6%AC%EC%96%B4%20%EC%A0%9C%EC%8A%B5%EA%B8%B0%2020L" TargetMode="External" Id="rId137" /><Relationship Type="http://schemas.openxmlformats.org/officeDocument/2006/relationships/hyperlink" Target="https://www.coupang.com/np/search?q=CDHC-200ACLWOYH" TargetMode="External" Id="rId138" /><Relationship Type="http://schemas.openxmlformats.org/officeDocument/2006/relationships/hyperlink" Target="https://search.danawa.com/dsearch.php?query=%EC%BA%90%EB%A6%AC%EC%96%B4%20%EC%A0%9C%EC%8A%B5%EA%B8%B0%2020L" TargetMode="External" Id="rId139" /><Relationship Type="http://schemas.openxmlformats.org/officeDocument/2006/relationships/hyperlink" Target="https://www.coupang.com/np/search?q=CDHC-200AULLOXH" TargetMode="External" Id="rId140" /><Relationship Type="http://schemas.openxmlformats.org/officeDocument/2006/relationships/hyperlink" Target="https://search.danawa.com/dsearch.php?query=%EC%BA%90%EB%A6%AC%EC%96%B4%20%EC%A0%9C%EC%8A%B5%EA%B8%B0%2020L" TargetMode="External" Id="rId141" /><Relationship Type="http://schemas.openxmlformats.org/officeDocument/2006/relationships/hyperlink" Target="https://www.coupang.com/np/search?q=CDHC-200AOLLOXH" TargetMode="External" Id="rId142" /><Relationship Type="http://schemas.openxmlformats.org/officeDocument/2006/relationships/hyperlink" Target="https://search.danawa.com/dsearch.php?query=%EC%9C%84%EB%8B%89%EC%8A%A4%20%EB%BD%80%EC%86%A1%2016L%20%EC%A0%9C%EC%8A%B5%EA%B8%B0" TargetMode="External" Id="rId143" /><Relationship Type="http://schemas.openxmlformats.org/officeDocument/2006/relationships/hyperlink" Target="https://www.coupang.com/np/search?q=DN2W160-KWK" TargetMode="External" Id="rId144" /><Relationship Type="http://schemas.openxmlformats.org/officeDocument/2006/relationships/hyperlink" Target="https://prod.danawa.com/info/?pcode=47839172" TargetMode="External" Id="rId145" /><Relationship Type="http://schemas.openxmlformats.org/officeDocument/2006/relationships/hyperlink" Target="https://www.coupang.com/np/search?q=CDHC-340AAMWOYH" TargetMode="External" Id="rId146" /><Relationship Type="http://schemas.openxmlformats.org/officeDocument/2006/relationships/hyperlink" Target="https://prod.danawa.com/info/?pcode=57504947" TargetMode="External" Id="rId147" /><Relationship Type="http://schemas.openxmlformats.org/officeDocument/2006/relationships/hyperlink" Target="https://www.coupang.com/np/search?q=DQ134MWEC" TargetMode="External" Id="rId148" /><Relationship Type="http://schemas.openxmlformats.org/officeDocument/2006/relationships/hyperlink" Target="https://prod.danawa.com/info/?pcode=43491230" TargetMode="External" Id="rId149" /><Relationship Type="http://schemas.openxmlformats.org/officeDocument/2006/relationships/hyperlink" Target="https://www.coupang.com/np/search?q=DXWE210-NGK" TargetMode="External" Id="rId150" /><Relationship Type="http://schemas.openxmlformats.org/officeDocument/2006/relationships/hyperlink" Target="https://search.danawa.com/dsearch.php?query=%EC%9C%84%EB%8B%89%EC%8A%A4%20%EB%BD%80%EC%86%A1%2016L%20%EC%A0%9C%EC%8A%B5%EA%B8%B0" TargetMode="External" Id="rId151" /><Relationship Type="http://schemas.openxmlformats.org/officeDocument/2006/relationships/hyperlink" Target="https://www.coupang.com/np/search?q=DN2H160-IWK" TargetMode="External" Id="rId152" /><Relationship Type="http://schemas.openxmlformats.org/officeDocument/2006/relationships/hyperlink" Target="https://search.danawa.com/dsearch.php?query=LG%20%ED%9C%98%EC%84%BC%20%EC%A0%9C%EC%8A%B5%EA%B8%B0" TargetMode="External" Id="rId153" /><Relationship Type="http://schemas.openxmlformats.org/officeDocument/2006/relationships/hyperlink" Target="https://www.coupang.com/np/search?q=DQ205PBBC" TargetMode="External" Id="rId154" /><Relationship Type="http://schemas.openxmlformats.org/officeDocument/2006/relationships/hyperlink" Target="https://search.danawa.com/dsearch.php?query=%EC%9C%84%EB%8B%89%EC%8A%A4%20%EB%BD%80%EC%86%A1%2016L%20%EC%A0%9C%EC%8A%B5%EA%B8%B0" TargetMode="External" Id="rId155" /><Relationship Type="http://schemas.openxmlformats.org/officeDocument/2006/relationships/hyperlink" Target="https://www.coupang.com/np/search?q=DO2E160-HWK" TargetMode="External" Id="rId156" /><Relationship Type="http://schemas.openxmlformats.org/officeDocument/2006/relationships/hyperlink" Target="https://search.danawa.com/dsearch.php?query=%EC%BF%A0%EC%BF%A0%20%EC%A0%9C%EC%8A%B5%EA%B8%B0" TargetMode="External" Id="rId157" /><Relationship Type="http://schemas.openxmlformats.org/officeDocument/2006/relationships/hyperlink" Target="https://www.coupang.com/np/search?q=DH-X22721EB" TargetMode="External" Id="rId158" /><Relationship Type="http://schemas.openxmlformats.org/officeDocument/2006/relationships/hyperlink" Target="https://search.danawa.com/dsearch.php?query=%EC%9C%84%EB%8B%89%EC%8A%A4%20%EC%A0%9C%EC%8A%B5%EA%B8%B0%2020L" TargetMode="External" Id="rId159" /><Relationship Type="http://schemas.openxmlformats.org/officeDocument/2006/relationships/hyperlink" Target="https://www.coupang.com/np/search?q=DXWE200-OEK" TargetMode="External" Id="rId160" /><Relationship Type="http://schemas.openxmlformats.org/officeDocument/2006/relationships/hyperlink" Target="https://search.danawa.com/dsearch.php?query=LG%20%ED%9C%98%EC%84%BC%20%EC%A0%9C%EC%8A%B5%EA%B8%B0" TargetMode="External" Id="rId161" /><Relationship Type="http://schemas.openxmlformats.org/officeDocument/2006/relationships/hyperlink" Target="https://www.coupang.com/np/search?q=DQ132PWXC" TargetMode="External" Id="rId162" /><Relationship Type="http://schemas.openxmlformats.org/officeDocument/2006/relationships/hyperlink" Target="https://prod.danawa.com/info/?pcode=122726458" TargetMode="External" Id="rId163" /><Relationship Type="http://schemas.openxmlformats.org/officeDocument/2006/relationships/hyperlink" Target="https://www.coupang.com/np/search?q=AY70H18100GTD" TargetMode="External" Id="rId164" /><Relationship Type="http://schemas.openxmlformats.org/officeDocument/2006/relationships/hyperlink" Target="https://search.danawa.com/dsearch.php?query=%EC%9C%84%EB%8B%89%EC%8A%A4%20%EB%BD%80%EC%86%A1%2016L%20%EC%A0%9C%EC%8A%B5%EA%B8%B0" TargetMode="External" Id="rId165" /><Relationship Type="http://schemas.openxmlformats.org/officeDocument/2006/relationships/hyperlink" Target="https://www.coupang.com/np/search?q=DO2W160-IWK" TargetMode="External" Id="rId166" /><Relationship Type="http://schemas.openxmlformats.org/officeDocument/2006/relationships/hyperlink" Target="https://search.danawa.com/dsearch.php?query=LG%20%ED%9C%98%EC%84%BC%20%EC%A0%9C%EC%8A%B5%EA%B8%B0" TargetMode="External" Id="rId167" /><Relationship Type="http://schemas.openxmlformats.org/officeDocument/2006/relationships/hyperlink" Target="https://www.coupang.com/np/search?q=DQ202PSUA" TargetMode="External" Id="rId168" /><Relationship Type="http://schemas.openxmlformats.org/officeDocument/2006/relationships/hyperlink" Target="https://search.danawa.com/dsearch.php?query=%EC%82%BC%EC%84%B1%20%EC%A0%9C%EC%8A%B5%EA%B8%B0" TargetMode="External" Id="rId169" /><Relationship Type="http://schemas.openxmlformats.org/officeDocument/2006/relationships/hyperlink" Target="https://www.coupang.com/np/search?q=AY70H18100GVD" TargetMode="External" Id="rId170" /><Relationship Type="http://schemas.openxmlformats.org/officeDocument/2006/relationships/hyperlink" Target="https://search.danawa.com/dsearch.php?query=%EC%82%BC%EC%84%B1%20%EC%A0%9C%EC%8A%B5%EA%B8%B0" TargetMode="External" Id="rId171" /><Relationship Type="http://schemas.openxmlformats.org/officeDocument/2006/relationships/hyperlink" Target="https://www.coupang.com/np/search?q=AY18CG7500GED" TargetMode="External" Id="rId172" /><Relationship Type="http://schemas.openxmlformats.org/officeDocument/2006/relationships/hyperlink" Target="https://prod.danawa.com/info/?pcode=57504929" TargetMode="External" Id="rId173" /><Relationship Type="http://schemas.openxmlformats.org/officeDocument/2006/relationships/hyperlink" Target="https://www.coupang.com/np/search?q=DQ154MWGA" TargetMode="External" Id="rId174" /><Relationship Type="http://schemas.openxmlformats.org/officeDocument/2006/relationships/hyperlink" Target="https://prod.danawa.com/info/?pcode=77015864" TargetMode="External" Id="rId175" /><Relationship Type="http://schemas.openxmlformats.org/officeDocument/2006/relationships/hyperlink" Target="https://www.coupang.com/np/search?q=DQ205PEGA" TargetMode="External" Id="rId176" /><Relationship Type="http://schemas.openxmlformats.org/officeDocument/2006/relationships/hyperlink" Target="https://prod.danawa.com/info/?pcode=122717367" TargetMode="External" Id="rId177" /><Relationship Type="http://schemas.openxmlformats.org/officeDocument/2006/relationships/hyperlink" Target="https://www.coupang.com/np/search?q=DQ136MWRA" TargetMode="External" Id="rId178" /><Relationship Type="http://schemas.openxmlformats.org/officeDocument/2006/relationships/hyperlink" Target="https://prod.danawa.com/info/?pcode=90267656" TargetMode="External" Id="rId179" /><Relationship Type="http://schemas.openxmlformats.org/officeDocument/2006/relationships/hyperlink" Target="https://www.coupang.com/np/search?q=DQ185MEGA" TargetMode="External" Id="rId180" /><Relationship Type="http://schemas.openxmlformats.org/officeDocument/2006/relationships/hyperlink" Target="https://search.danawa.com/dsearch.php?query=LG%20%ED%9C%98%EC%84%BC%20%EC%A0%9C%EC%8A%B5%EA%B8%B0" TargetMode="External" Id="rId181" /><Relationship Type="http://schemas.openxmlformats.org/officeDocument/2006/relationships/hyperlink" Target="https://www.coupang.com/np/search?q=DQ162PBBC" TargetMode="External" Id="rId182" /><Relationship Type="http://schemas.openxmlformats.org/officeDocument/2006/relationships/hyperlink" Target="https://search.danawa.com/dsearch.php?query=%EC%82%BC%EC%84%B1%20%EC%A0%9C%EC%8A%B5%EA%B8%B0" TargetMode="External" Id="rId183" /><Relationship Type="http://schemas.openxmlformats.org/officeDocument/2006/relationships/hyperlink" Target="https://www.coupang.com/np/search?q=AY70H21100GTD" TargetMode="External" Id="rId184" /><Relationship Type="http://schemas.openxmlformats.org/officeDocument/2006/relationships/hyperlink" Target="https://prod.danawa.com/info/?pcode=57504887" TargetMode="External" Id="rId185" /><Relationship Type="http://schemas.openxmlformats.org/officeDocument/2006/relationships/hyperlink" Target="https://www.coupang.com/np/search?q=DQ214MWGA" TargetMode="External" Id="rId186" /><Relationship Type="http://schemas.openxmlformats.org/officeDocument/2006/relationships/hyperlink" Target="https://search.danawa.com/dsearch.php?query=%EC%9C%84%EB%8B%89%EC%8A%A4%20%EB%BD%80%EC%86%A1%2016L%20%EC%A0%9C%EC%8A%B5%EA%B8%B0" TargetMode="External" Id="rId187" /><Relationship Type="http://schemas.openxmlformats.org/officeDocument/2006/relationships/hyperlink" Target="https://www.coupang.com/np/search?q=DHD-169OSST" TargetMode="External" Id="rId188" /><Relationship Type="http://schemas.openxmlformats.org/officeDocument/2006/relationships/hyperlink" Target="https://search.danawa.com/dsearch.php?query=%EC%BF%A0%EC%BF%A0%20%EC%A0%9C%EC%8A%B5%EA%B8%B0" TargetMode="External" Id="rId189" /><Relationship Type="http://schemas.openxmlformats.org/officeDocument/2006/relationships/hyperlink" Target="https://www.coupang.com/np/search?q=DH-16ZH45FG" TargetMode="External" Id="rId190" /><Relationship Type="http://schemas.openxmlformats.org/officeDocument/2006/relationships/hyperlink" Target="https://search.danawa.com/dsearch.php?query=%EC%82%BC%EC%84%B1%20%EC%A0%9C%EC%8A%B5%EA%B8%B0" TargetMode="External" Id="rId191" /><Relationship Type="http://schemas.openxmlformats.org/officeDocument/2006/relationships/hyperlink" Target="https://www.coupang.com/np/search?q=AY18BG7500GBD" TargetMode="External" Id="rId192" /><Relationship Type="http://schemas.openxmlformats.org/officeDocument/2006/relationships/hyperlink" Target="https://prod.danawa.com/info/?pcode=88233017" TargetMode="External" Id="rId193" /><Relationship Type="http://schemas.openxmlformats.org/officeDocument/2006/relationships/hyperlink" Target="https://www.coupang.com/np/search?q=DQ235MWGA" TargetMode="External" Id="rId194" /><Relationship Type="http://schemas.openxmlformats.org/officeDocument/2006/relationships/hyperlink" Target="https://search.danawa.com/dsearch.php?query=%EC%8B%A0%EC%9D%BC%20%EC%A0%9C%EC%8A%B5%EA%B8%B0" TargetMode="External" Id="rId195" /><Relationship Type="http://schemas.openxmlformats.org/officeDocument/2006/relationships/hyperlink" Target="https://www.coupang.com/np/search?q=SDH-BPM600" TargetMode="External" Id="rId196" /><Relationship Type="http://schemas.openxmlformats.org/officeDocument/2006/relationships/hyperlink" Target="https://search.danawa.com/dsearch.php?query=LG%20%ED%9C%98%EC%84%BC%20%EC%A0%9C%EC%8A%B5%EA%B8%B0" TargetMode="External" Id="rId197" /><Relationship Type="http://schemas.openxmlformats.org/officeDocument/2006/relationships/hyperlink" Target="https://www.coupang.com/np/search?q=DQ256MWGA" TargetMode="External" Id="rId198" /><Relationship Type="http://schemas.openxmlformats.org/officeDocument/2006/relationships/hyperlink" Target="https://search.danawa.com/dsearch.php?query=%EC%82%BC%EC%84%B1%20%EC%A0%9C%EC%8A%B5%EA%B8%B0" TargetMode="External" Id="rId199" /><Relationship Type="http://schemas.openxmlformats.org/officeDocument/2006/relationships/hyperlink" Target="https://www.coupang.com/np/search?q=AY70H23100GVD" TargetMode="External" Id="rId200" /><Relationship Type="http://schemas.openxmlformats.org/officeDocument/2006/relationships/hyperlink" Target="https://search.danawa.com/dsearch.php?query=LG%20%ED%9C%98%EC%84%BC%20%EC%A0%9C%EC%8A%B5%EA%B8%B0" TargetMode="External" Id="rId201" /><Relationship Type="http://schemas.openxmlformats.org/officeDocument/2006/relationships/hyperlink" Target="https://www.coupang.com/np/search?q=DQ256MWGAS" TargetMode="External" Id="rId202" /><Relationship Type="http://schemas.openxmlformats.org/officeDocument/2006/relationships/hyperlink" Target="https://search.danawa.com/dsearch.php?query=%EC%82%BC%EC%84%B1%20%EC%A0%9C%EC%8A%B5%EA%B8%B0" TargetMode="External" Id="rId203" /><Relationship Type="http://schemas.openxmlformats.org/officeDocument/2006/relationships/hyperlink" Target="https://www.coupang.com/np/search?q=AY70H23100GTD" TargetMode="External" Id="rId204" /><Relationship Type="http://schemas.openxmlformats.org/officeDocument/2006/relationships/hyperlink" Target="https://search.danawa.com/dsearch.php?query=LG%20%ED%9C%98%EC%84%BC%20%EC%A0%9C%EC%8A%B5%EA%B8%B0" TargetMode="External" Id="rId205" /><Relationship Type="http://schemas.openxmlformats.org/officeDocument/2006/relationships/hyperlink" Target="https://www.coupang.com/np/search?q=DQ256MEGA" TargetMode="External" Id="rId206" /><Relationship Type="http://schemas.openxmlformats.org/officeDocument/2006/relationships/hyperlink" Target="https://search.danawa.com/dsearch.php?k1=CDHM-C016LROW" TargetMode="External" Id="rId207" /><Relationship Type="http://schemas.openxmlformats.org/officeDocument/2006/relationships/hyperlink" Target="https://www.coupang.com/vp/products/6355625499" TargetMode="External" Id="rId208" /></Relationships>
</file>

<file path=xl/worksheets/sheet1.xml><?xml version="1.0" encoding="utf-8"?>
<worksheet xmlns="http://schemas.openxmlformats.org/spreadsheetml/2006/main">
  <sheetPr>
    <outlinePr summaryBelow="1" summaryRight="1"/>
    <pageSetUpPr/>
  </sheetPr>
  <dimension ref="A1:V107"/>
  <sheetViews>
    <sheetView workbookViewId="0">
      <pane xSplit="7" ySplit="3" topLeftCell="H4"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20" customWidth="1" min="3" max="3"/>
    <col width="13" customWidth="1" min="4" max="4"/>
    <col width="22" customWidth="1" min="5" max="5"/>
    <col width="22" customWidth="1" min="6" max="6"/>
    <col width="12" customWidth="1" min="7" max="7"/>
    <col width="13" customWidth="1" min="8" max="8"/>
    <col width="8" customWidth="1" min="9" max="9"/>
    <col width="10" customWidth="1" min="10" max="10"/>
    <col width="11" customWidth="1" min="11" max="11"/>
    <col width="9" customWidth="1" min="12" max="12"/>
    <col width="13" customWidth="1" min="13" max="13"/>
    <col width="20" customWidth="1" min="14" max="14"/>
    <col width="6" customWidth="1" min="15" max="15"/>
    <col width="8" customWidth="1" min="16" max="16"/>
    <col width="8" customWidth="1" min="17" max="17"/>
    <col width="12" customWidth="1" min="18" max="18"/>
    <col width="10" customWidth="1" min="19" max="19"/>
    <col width="16" customWidth="1" min="20" max="20"/>
    <col width="26" customWidth="1" min="21" max="21"/>
    <col width="26" customWidth="1" min="22" max="22"/>
  </cols>
  <sheetData>
    <row r="1" ht="24" customHeight="1">
      <c r="A1" s="1" t="inlineStr">
        <is>
          <t>통합 소싱·마진 시트 — 내 다나와 84종 + 업로드 2개 파일 병합 | 쿠팡 판매수수료 11.88% 적용, 예상마진 ≥10원만 '✅마진OK'</t>
        </is>
      </c>
    </row>
    <row r="2" ht="15" customHeight="1">
      <c r="A2" s="2" t="inlineStr">
        <is>
          <t>예상마진 = 쿠팡판매가 − 다나와매입가 − 쿠팡판매가×11.88% − 택배비 | 파란셀 쿠팡가=업로드 실측값, 빈칸은 쿠팡 로그인으로 확인 입력 | 손익분기쿠팡가=매입가/0.8812</t>
        </is>
      </c>
    </row>
    <row r="3" ht="32" customHeight="1">
      <c r="A3" s="3" t="inlineStr">
        <is>
          <t>브랜드</t>
        </is>
      </c>
      <c r="B3" s="3" t="inlineStr">
        <is>
          <t>키워드</t>
        </is>
      </c>
      <c r="C3" s="3" t="inlineStr">
        <is>
          <t>모델명</t>
        </is>
      </c>
      <c r="D3" s="4" t="inlineStr">
        <is>
          <t>다나와 매입가
(국내최저,원)</t>
        </is>
      </c>
      <c r="E3" s="5" t="inlineStr">
        <is>
          <t>다나와 URL</t>
        </is>
      </c>
      <c r="F3" s="5" t="inlineStr">
        <is>
          <t>쿠팡 URL</t>
        </is>
      </c>
      <c r="G3" s="6" t="inlineStr">
        <is>
          <t>쿠팡 판매가
(실측/입력)</t>
        </is>
      </c>
      <c r="H3" s="7" t="inlineStr">
        <is>
          <t>예상마진(원)
수수료11.88%</t>
        </is>
      </c>
      <c r="I3" s="7" t="inlineStr">
        <is>
          <t>마진율
(%)</t>
        </is>
      </c>
      <c r="J3" s="7" t="inlineStr">
        <is>
          <t>마진≥10원?</t>
        </is>
      </c>
      <c r="K3" s="7" t="inlineStr">
        <is>
          <t>손익분기
쿠팡가</t>
        </is>
      </c>
      <c r="L3" s="8" t="inlineStr">
        <is>
          <t>택배비
(입력)</t>
        </is>
      </c>
      <c r="M3" s="9" t="inlineStr">
        <is>
          <t>국내최저
소싱처</t>
        </is>
      </c>
      <c r="N3" s="9" t="inlineStr">
        <is>
          <t>소싱 비고</t>
        </is>
      </c>
      <c r="O3" s="3" t="inlineStr">
        <is>
          <t>용량
(L)</t>
        </is>
      </c>
      <c r="P3" s="10" t="inlineStr">
        <is>
          <t>다나와
판매처수</t>
        </is>
      </c>
      <c r="Q3" s="6" t="inlineStr">
        <is>
          <t>쿠팡
리뷰수</t>
        </is>
      </c>
      <c r="R3" s="6" t="inlineStr">
        <is>
          <t>위너
배송형태</t>
        </is>
      </c>
      <c r="S3" s="8" t="inlineStr">
        <is>
          <t>신품판매자수
(입력)</t>
        </is>
      </c>
      <c r="T3" s="5" t="inlineStr">
        <is>
          <t>데이터출처</t>
        </is>
      </c>
      <c r="U3" s="5" t="inlineStr">
        <is>
          <t>쿠팡 인기신호/비고</t>
        </is>
      </c>
      <c r="V3" s="5" t="inlineStr">
        <is>
          <t>위험/판정</t>
        </is>
      </c>
    </row>
    <row r="4" ht="28" customHeight="1">
      <c r="A4" s="11" t="inlineStr">
        <is>
          <t>캐리어</t>
        </is>
      </c>
      <c r="B4" s="11" t="inlineStr">
        <is>
          <t>16L 제습기 / 캐리어 제습기</t>
        </is>
      </c>
      <c r="C4" s="12" t="inlineStr">
        <is>
          <t>CDHC-160AYLLOYH</t>
        </is>
      </c>
      <c r="D4" s="13" t="n">
        <v>246000</v>
      </c>
      <c r="E4" s="14" t="inlineStr">
        <is>
          <t>https://search.danawa.com/dsearch.php?query=%EC%BA%90%EB%A6%AC%EC%96%B4%20%EC%A0%9C%EC%8A%B5%EA%B8%B0%2016L</t>
        </is>
      </c>
      <c r="F4" s="14" t="inlineStr">
        <is>
          <t>https://www.coupang.com/vp/products/8051673398</t>
        </is>
      </c>
      <c r="G4" s="15" t="n">
        <v>253000</v>
      </c>
      <c r="H4" s="16">
        <f>IF(G4="","",ROUND(G4-D4-G4*0.1188-L4,0))</f>
        <v/>
      </c>
      <c r="I4" s="17">
        <f>IF(OR(G4="",G4=0),"",ROUND(H4/G4*100,1))</f>
        <v/>
      </c>
      <c r="J4" s="18">
        <f>IF(G4="","위너가필요",IF(H4&gt;=10,"✅마진OK","❌미달"))</f>
        <v/>
      </c>
      <c r="K4" s="16" t="n">
        <v>279165</v>
      </c>
      <c r="L4" s="19" t="n">
        <v>0</v>
      </c>
      <c r="M4" s="20" t="inlineStr">
        <is>
          <t>11번가</t>
        </is>
      </c>
      <c r="N4" s="20" t="inlineStr">
        <is>
          <t>2위:쿠팡=253,000원</t>
        </is>
      </c>
      <c r="O4" s="11" t="inlineStr">
        <is>
          <t>16</t>
        </is>
      </c>
      <c r="P4" s="21" t="n">
        <v>71</v>
      </c>
      <c r="Q4" s="22" t="n">
        <v>389</v>
      </c>
      <c r="R4" s="22" t="inlineStr">
        <is>
          <t>일반 판매자배송 정황</t>
        </is>
      </c>
      <c r="S4" s="19" t="inlineStr"/>
      <c r="T4" s="23" t="inlineStr">
        <is>
          <t>내조사(다나와84) + 업로드쿠팡실측</t>
        </is>
      </c>
      <c r="U4" s="23" t="inlineStr"/>
      <c r="V4" s="23" t="inlineStr">
        <is>
          <t>리뷰·가격대·장마철 용량은 양호. 다나와 실제 결제가와 동일 카탈로그 판매자 수를 먼저 확인.</t>
        </is>
      </c>
    </row>
    <row r="5" ht="28" customHeight="1">
      <c r="A5" s="11" t="inlineStr">
        <is>
          <t>위니아</t>
        </is>
      </c>
      <c r="B5" s="11" t="inlineStr">
        <is>
          <t>10L 제습기 / 위니아 제습기</t>
        </is>
      </c>
      <c r="C5" s="12" t="inlineStr">
        <is>
          <t>EDH10HNW(A)</t>
        </is>
      </c>
      <c r="D5" s="13" t="n">
        <v>198990</v>
      </c>
      <c r="E5" s="14" t="inlineStr">
        <is>
          <t>https://search.danawa.com/dsearch.php?query=%EC%9C%84%EB%8B%88%EC%95%84%20%EC%A0%9C%EC%8A%B5%EA%B8%B0</t>
        </is>
      </c>
      <c r="F5" s="14" t="inlineStr">
        <is>
          <t>https://www.coupang.com/vp/products/7360336252</t>
        </is>
      </c>
      <c r="G5" s="15" t="n">
        <v>199000</v>
      </c>
      <c r="H5" s="16">
        <f>IF(G5="","",ROUND(G5-D5-G5*0.1188-L5,0))</f>
        <v/>
      </c>
      <c r="I5" s="17">
        <f>IF(OR(G5="",G5=0),"",ROUND(H5/G5*100,1))</f>
        <v/>
      </c>
      <c r="J5" s="18">
        <f>IF(G5="","위너가필요",IF(H5&gt;=10,"✅마진OK","❌미달"))</f>
        <v/>
      </c>
      <c r="K5" s="16" t="n">
        <v>225817</v>
      </c>
      <c r="L5" s="19" t="n">
        <v>0</v>
      </c>
      <c r="M5" s="20" t="inlineStr">
        <is>
          <t>롯데ON</t>
        </is>
      </c>
      <c r="N5" s="20" t="inlineStr">
        <is>
          <t>2위:쿠팡=199,000원</t>
        </is>
      </c>
      <c r="O5" s="11" t="inlineStr">
        <is>
          <t>10</t>
        </is>
      </c>
      <c r="P5" s="21" t="n">
        <v>54</v>
      </c>
      <c r="Q5" s="22" t="n">
        <v>232</v>
      </c>
      <c r="R5" s="22" t="inlineStr">
        <is>
          <t>일반 판매자배송</t>
        </is>
      </c>
      <c r="S5" s="19" t="inlineStr"/>
      <c r="T5" s="23" t="inlineStr">
        <is>
          <t>내조사(다나와84) + 업로드쿠팡실측</t>
        </is>
      </c>
      <c r="U5" s="23" t="inlineStr">
        <is>
          <t>[신호/리드, 미검증] 쿠팡에 정식 판매 리스팅이 존재하며 약 199,000원대로 유통 중(2차 자료 기준). 쿠팡 외에도 SSG, G마켓, 롯데하이마트, 11번가, 다나와 등 주요 채널에 폭넓게 등재되어 유통 노출도가 높은 편 — 대중 유통형 모델이라는 신호. 다만 블로그/유튜브/네이버 2차 자료에서 이 모델의 '쿠팡 실제 리뷰 수·평점'을 직접 확인 가능한 자료는 확보되지 않음. 리뷰 콘텐츠 대부분은 노써치(스펙 리뷰), 가성비 추천 블로그(추천 TOP10 목록 포함) 등 스펙 소개형이 중심이며, 대량의 개별 사용후기 축적 신호는 뚜렷하지 않음. 인기 정도는 '유통 노출은 넓으나 리뷰 밀도 미확인' 수준의 리드로만 판단.</t>
        </is>
      </c>
      <c r="V5" s="23" t="inlineStr">
        <is>
          <t>10L 원룸·옷방 수요형. 판매자 수와 다나와 배송포함가가 확인되기 전 매입 금지.</t>
        </is>
      </c>
    </row>
    <row r="6" ht="28" customHeight="1">
      <c r="A6" s="11" t="inlineStr">
        <is>
          <t>LG전자</t>
        </is>
      </c>
      <c r="B6" s="11" t="inlineStr">
        <is>
          <t>16L 제습기 / LG전자 제습기</t>
        </is>
      </c>
      <c r="C6" s="12" t="inlineStr">
        <is>
          <t>(모델미노출)</t>
        </is>
      </c>
      <c r="D6" s="13" t="n"/>
      <c r="E6" s="14" t="inlineStr">
        <is>
          <t>https://search.danawa.com/dsearch.php?k1=DQ160PPBC</t>
        </is>
      </c>
      <c r="F6" s="14" t="inlineStr">
        <is>
          <t>https://www.coupang.com/vp/products/1434711781</t>
        </is>
      </c>
      <c r="G6" s="15" t="n">
        <v>649000</v>
      </c>
      <c r="H6" s="16">
        <f>IF(G6="","",ROUND(G6-D6-G6*0.1188-L6,0))</f>
        <v/>
      </c>
      <c r="I6" s="17">
        <f>IF(OR(G6="",G6=0),"",ROUND(H6/G6*100,1))</f>
        <v/>
      </c>
      <c r="J6" s="18">
        <f>IF(G6="","위너가필요",IF(H6&gt;=10,"✅마진OK","❌미달"))</f>
        <v/>
      </c>
      <c r="K6" s="16" t="n"/>
      <c r="L6" s="19" t="n">
        <v>0</v>
      </c>
      <c r="M6" s="20" t="inlineStr"/>
      <c r="N6" s="20" t="inlineStr"/>
      <c r="O6" s="11" t="n">
        <v>16</v>
      </c>
      <c r="P6" s="21" t="inlineStr"/>
      <c r="Q6" s="22" t="n">
        <v>679</v>
      </c>
      <c r="R6" s="22" t="inlineStr">
        <is>
          <t>일반 판매자배송/설치일 지정</t>
        </is>
      </c>
      <c r="S6" s="19" t="inlineStr"/>
      <c r="T6" s="23" t="inlineStr">
        <is>
          <t>업로드쿠팡실측</t>
        </is>
      </c>
      <c r="U6" s="23" t="inlineStr"/>
      <c r="V6" s="23" t="inlineStr">
        <is>
          <t>리뷰 수는 강하지만 고가 제품이라 반품·가격변동 손실이 큼. 공급가 격차가 충분할 때만 진행.</t>
        </is>
      </c>
    </row>
    <row r="7" ht="28" customHeight="1">
      <c r="A7" s="11" t="inlineStr">
        <is>
          <t>캐리어</t>
        </is>
      </c>
      <c r="B7" s="11" t="inlineStr">
        <is>
          <t>16L 제습기 / 캐리어 제습기</t>
        </is>
      </c>
      <c r="C7" s="12" t="inlineStr">
        <is>
          <t>(모델미노출)</t>
        </is>
      </c>
      <c r="D7" s="13" t="n"/>
      <c r="E7" s="14" t="inlineStr">
        <is>
          <t>https://search.danawa.com/dsearch.php?k1=%EC%BA%90%EB%A6%AC%EC%96%B4+16L+1%EB%93%B1%EA%B8%89+%EC%A0%9C%EC%8A%B5%EA%B8%B0</t>
        </is>
      </c>
      <c r="F7" s="14" t="inlineStr">
        <is>
          <t>https://www.coupang.com/vp/products/9478744145</t>
        </is>
      </c>
      <c r="G7" s="15" t="n">
        <v>253000</v>
      </c>
      <c r="H7" s="16">
        <f>IF(G7="","",ROUND(G7-D7-G7*0.1188-L7,0))</f>
        <v/>
      </c>
      <c r="I7" s="17">
        <f>IF(OR(G7="",G7=0),"",ROUND(H7/G7*100,1))</f>
        <v/>
      </c>
      <c r="J7" s="18">
        <f>IF(G7="","위너가필요",IF(H7&gt;=10,"✅마진OK","❌미달"))</f>
        <v/>
      </c>
      <c r="K7" s="16" t="n"/>
      <c r="L7" s="19" t="n">
        <v>0</v>
      </c>
      <c r="M7" s="20" t="inlineStr"/>
      <c r="N7" s="20" t="inlineStr"/>
      <c r="O7" s="11" t="n">
        <v>16</v>
      </c>
      <c r="P7" s="21" t="inlineStr"/>
      <c r="Q7" s="22" t="n">
        <v>165</v>
      </c>
      <c r="R7" s="22" t="inlineStr">
        <is>
          <t>일반 판매자배송</t>
        </is>
      </c>
      <c r="S7" s="19" t="inlineStr"/>
      <c r="T7" s="23" t="inlineStr">
        <is>
          <t>업로드쿠팡실측</t>
        </is>
      </c>
      <c r="U7" s="23" t="inlineStr"/>
      <c r="V7" s="23" t="inlineStr">
        <is>
          <t>동일 가격대의 다른 판매 URL. 모델번호가 확인되지 않아 기존 카탈로그 매칭은 위험.</t>
        </is>
      </c>
    </row>
    <row r="8" ht="28" customHeight="1">
      <c r="A8" s="11" t="inlineStr">
        <is>
          <t>위닉스</t>
        </is>
      </c>
      <c r="B8" s="11" t="inlineStr">
        <is>
          <t>16L 제습기 / 위닉스 제습기</t>
        </is>
      </c>
      <c r="C8" s="12" t="inlineStr">
        <is>
          <t>(모델미노출)</t>
        </is>
      </c>
      <c r="D8" s="13" t="n"/>
      <c r="E8" s="14" t="inlineStr">
        <is>
          <t>https://search.danawa.com/dsearch.php?k1=%EC%9C%84%EB%8B%89%EC%8A%A4+16L+%EC%A0%9C%EC%8A%B5%EA%B8%B0</t>
        </is>
      </c>
      <c r="F8" s="14" t="inlineStr">
        <is>
          <t>https://www.coupang.com/vp/products/7887360211?itemId=21583749676&amp;vendorItemId=94950976792</t>
        </is>
      </c>
      <c r="G8" s="15" t="n">
        <v>640100</v>
      </c>
      <c r="H8" s="16">
        <f>IF(G8="","",ROUND(G8-D8-G8*0.1188-L8,0))</f>
        <v/>
      </c>
      <c r="I8" s="17">
        <f>IF(OR(G8="",G8=0),"",ROUND(H8/G8*100,1))</f>
        <v/>
      </c>
      <c r="J8" s="18">
        <f>IF(G8="","위너가필요",IF(H8&gt;=10,"✅마진OK","❌미달"))</f>
        <v/>
      </c>
      <c r="K8" s="16" t="n"/>
      <c r="L8" s="19" t="n">
        <v>0</v>
      </c>
      <c r="M8" s="20" t="inlineStr"/>
      <c r="N8" s="20" t="inlineStr"/>
      <c r="O8" s="11" t="n">
        <v>16</v>
      </c>
      <c r="P8" s="21" t="inlineStr"/>
      <c r="Q8" s="22" t="n">
        <v>2114</v>
      </c>
      <c r="R8" s="22" t="inlineStr">
        <is>
          <t>일반 판매자배송</t>
        </is>
      </c>
      <c r="S8" s="19" t="inlineStr"/>
      <c r="T8" s="23" t="inlineStr">
        <is>
          <t>업로드쿠팡실측</t>
        </is>
      </c>
      <c r="U8" s="23" t="inlineStr"/>
      <c r="V8" s="23" t="inlineStr">
        <is>
          <t>리뷰는 매우 많지만 가격이 비정상적으로 높고 모델번호가 없어 소싱 기준으로 바로 사용하면 안 됨.</t>
        </is>
      </c>
    </row>
    <row r="9" ht="28" customHeight="1">
      <c r="A9" s="11" t="inlineStr">
        <is>
          <t>어라운드</t>
        </is>
      </c>
      <c r="B9" s="11" t="inlineStr">
        <is>
          <t>12L 제습기 / 어라운드 제습기</t>
        </is>
      </c>
      <c r="C9" s="12" t="inlineStr">
        <is>
          <t>(모델미노출)</t>
        </is>
      </c>
      <c r="D9" s="13" t="n"/>
      <c r="E9" s="14" t="inlineStr">
        <is>
          <t>https://search.danawa.com/dsearch.php?k1=%EC%96%B4%EB%9D%BC%EC%9A%B4%EB%93%9C+12L+%EC%A0%9C%EC%8A%B5%EA%B8%B0</t>
        </is>
      </c>
      <c r="F9" s="14" t="inlineStr">
        <is>
          <t>https://www.coupang.com/vp/products/6714245064</t>
        </is>
      </c>
      <c r="G9" s="15" t="n">
        <v>159000</v>
      </c>
      <c r="H9" s="16">
        <f>IF(G9="","",ROUND(G9-D9-G9*0.1188-L9,0))</f>
        <v/>
      </c>
      <c r="I9" s="17">
        <f>IF(OR(G9="",G9=0),"",ROUND(H9/G9*100,1))</f>
        <v/>
      </c>
      <c r="J9" s="18">
        <f>IF(G9="","위너가필요",IF(H9&gt;=10,"✅마진OK","❌미달"))</f>
        <v/>
      </c>
      <c r="K9" s="16" t="n"/>
      <c r="L9" s="19" t="n">
        <v>0</v>
      </c>
      <c r="M9" s="20" t="inlineStr"/>
      <c r="N9" s="20" t="inlineStr"/>
      <c r="O9" s="11" t="n">
        <v>12</v>
      </c>
      <c r="P9" s="21" t="inlineStr"/>
      <c r="Q9" s="22" t="n">
        <v>279</v>
      </c>
      <c r="R9" s="22" t="inlineStr">
        <is>
          <t>일반 판매자배송</t>
        </is>
      </c>
      <c r="S9" s="19" t="inlineStr"/>
      <c r="T9" s="23" t="inlineStr">
        <is>
          <t>업로드쿠팡실측</t>
        </is>
      </c>
      <c r="U9" s="23" t="inlineStr"/>
      <c r="V9" s="23" t="inlineStr">
        <is>
          <t>원룸·빨래건조 수요는 적합하지만 모델번호가 없어 동일상품 매칭 안전성이 낮음.</t>
        </is>
      </c>
    </row>
    <row r="10" ht="28" customHeight="1">
      <c r="A10" s="11" t="inlineStr">
        <is>
          <t>LG전자</t>
        </is>
      </c>
      <c r="B10" s="11" t="inlineStr">
        <is>
          <t>20L 제습기 / LG전자 제습기</t>
        </is>
      </c>
      <c r="C10" s="12" t="inlineStr">
        <is>
          <t>DQ205PSVA</t>
        </is>
      </c>
      <c r="D10" s="13" t="n">
        <v>406110</v>
      </c>
      <c r="E10" s="14" t="inlineStr">
        <is>
          <t>https://search.danawa.com/dsearch.php?query=LG%20%ED%9C%98%EC%84%BC%20%EC%A0%9C%EC%8A%B5%EA%B8%B0</t>
        </is>
      </c>
      <c r="F10" s="14" t="inlineStr">
        <is>
          <t>https://www.coupang.com/vp/products/9100360785</t>
        </is>
      </c>
      <c r="G10" s="15" t="n">
        <v>546440</v>
      </c>
      <c r="H10" s="16">
        <f>IF(G10="","",ROUND(G10-D10-G10*0.1188-L10,0))</f>
        <v/>
      </c>
      <c r="I10" s="17">
        <f>IF(OR(G10="",G10=0),"",ROUND(H10/G10*100,1))</f>
        <v/>
      </c>
      <c r="J10" s="18">
        <f>IF(G10="","위너가필요",IF(H10&gt;=10,"✅마진OK","❌미달"))</f>
        <v/>
      </c>
      <c r="K10" s="16" t="n">
        <v>460860</v>
      </c>
      <c r="L10" s="19" t="n">
        <v>0</v>
      </c>
      <c r="M10" s="20" t="inlineStr">
        <is>
          <t>LG전자 (공식) (가격 재확인 필요)</t>
        </is>
      </c>
      <c r="N10" s="20" t="inlineStr">
        <is>
          <t>⚠소싱가 이상치→다나와최저가 사용</t>
        </is>
      </c>
      <c r="O10" s="11" t="inlineStr">
        <is>
          <t>20</t>
        </is>
      </c>
      <c r="P10" s="21" t="n">
        <v>999</v>
      </c>
      <c r="Q10" s="22" t="n">
        <v>0</v>
      </c>
      <c r="R10" s="22" t="inlineStr">
        <is>
          <t>일반 판매자배송</t>
        </is>
      </c>
      <c r="S10" s="19" t="inlineStr"/>
      <c r="T10" s="23" t="inlineStr">
        <is>
          <t>내조사(다나와84) + 업로드①마진계산 + 업로드쿠팡실측</t>
        </is>
      </c>
      <c r="U10" s="23" t="inlineStr">
        <is>
          <t>쿠팡 자체 페이지는 직접 확인 불가(2차 자료 기반 신호/리드). 2025년 신제품으로 다나와/에누리/SSG/롯데아이몰 등 주요 온라인몰에 폭넓게 노출되며 쿠팡 포함 다수 쇼핑몰에서 판매 중이라는 언급이 있음 → 유통 노출도는 넓은 편(리드). 리뷰 규모 신호: LG 공식몰 별점 5.0 / 리뷰 약 569건 언급, 렌트리 실사용 후기 7건 등 2차 플랫폼 후기 확인됨. 단, 이는 쿠팡 후기 수가 아니라 타 플랫폼 수치이므로 쿠팡 리뷰 수로 단정 불가. 블로그(henry91 등)·뽐뿌·루리웹 특가글 등에서 반복 언급되어 관심도/화제성은 있는 편으로 보이는 신호. 확정된 쿠팡 리뷰 수는 미확인.</t>
        </is>
      </c>
      <c r="V10" s="23" t="inlineStr">
        <is>
          <t>[업로드판정:제외] 가격 차이는 있으나 상품평 30개 미만으로 사용자 기준 탈락.</t>
        </is>
      </c>
    </row>
    <row r="11" ht="28" customHeight="1">
      <c r="A11" s="11" t="inlineStr">
        <is>
          <t>위닉스</t>
        </is>
      </c>
      <c r="B11" s="11" t="inlineStr">
        <is>
          <t>12L 제습기 / 위닉스 제습기</t>
        </is>
      </c>
      <c r="C11" s="12" t="inlineStr">
        <is>
          <t>DXTE120-MPK</t>
        </is>
      </c>
      <c r="D11" s="13" t="n">
        <v>212870</v>
      </c>
      <c r="E11" s="14" t="inlineStr">
        <is>
          <t>https://prod.danawa.com/info/?pcode=122726455</t>
        </is>
      </c>
      <c r="F11" s="14" t="inlineStr">
        <is>
          <t>https://www.coupang.com/vp/products/8542726381</t>
        </is>
      </c>
      <c r="G11" s="15" t="n">
        <v>240010</v>
      </c>
      <c r="H11" s="16">
        <f>IF(G11="","",ROUND(G11-D11-G11*0.1188-L11,0))</f>
        <v/>
      </c>
      <c r="I11" s="17">
        <f>IF(OR(G11="",G11=0),"",ROUND(H11/G11*100,1))</f>
        <v/>
      </c>
      <c r="J11" s="18">
        <f>IF(G11="","위너가필요",IF(H11&gt;=10,"✅마진OK","❌미달"))</f>
        <v/>
      </c>
      <c r="K11" s="16" t="n">
        <v>241568</v>
      </c>
      <c r="L11" s="19" t="n">
        <v>0</v>
      </c>
      <c r="M11" s="20" t="inlineStr"/>
      <c r="N11" s="20" t="inlineStr"/>
      <c r="O11" s="11" t="n">
        <v>12</v>
      </c>
      <c r="P11" s="21" t="inlineStr"/>
      <c r="Q11" s="22" t="n">
        <v>102</v>
      </c>
      <c r="R11" s="22" t="inlineStr">
        <is>
          <t>일반 판매자배송</t>
        </is>
      </c>
      <c r="S11" s="19" t="inlineStr"/>
      <c r="T11" s="23" t="inlineStr">
        <is>
          <t>업로드①마진계산 + 업로드쿠팡실측</t>
        </is>
      </c>
      <c r="U11" s="23" t="inlineStr"/>
      <c r="V11" s="23" t="inlineStr">
        <is>
          <t>[업로드판정:제외] 17% 변동비 가정 시 예상 순이익이 음수. 모델 매칭까지 완전 확인되지 않아 소싱 부적합.</t>
        </is>
      </c>
    </row>
    <row r="12" ht="28" customHeight="1">
      <c r="A12" s="11" t="inlineStr">
        <is>
          <t>한경희</t>
        </is>
      </c>
      <c r="B12" s="11" t="inlineStr">
        <is>
          <t>20L 제습기 / 한경희 제습기</t>
        </is>
      </c>
      <c r="C12" s="12" t="inlineStr">
        <is>
          <t>HE-D720W</t>
        </is>
      </c>
      <c r="D12" s="13" t="n"/>
      <c r="E12" s="14" t="inlineStr">
        <is>
          <t>https://search.danawa.com/dsearch.php?k1=HE-D720W</t>
        </is>
      </c>
      <c r="F12" s="14" t="inlineStr">
        <is>
          <t>https://www.coupang.com/vp/products/9461649474</t>
        </is>
      </c>
      <c r="G12" s="15" t="n">
        <v>198550</v>
      </c>
      <c r="H12" s="16">
        <f>IF(G12="","",ROUND(G12-D12-G12*0.1188-L12,0))</f>
        <v/>
      </c>
      <c r="I12" s="17">
        <f>IF(OR(G12="",G12=0),"",ROUND(H12/G12*100,1))</f>
        <v/>
      </c>
      <c r="J12" s="18">
        <f>IF(G12="","위너가필요",IF(H12&gt;=10,"✅마진OK","❌미달"))</f>
        <v/>
      </c>
      <c r="K12" s="16" t="n"/>
      <c r="L12" s="19" t="n">
        <v>0</v>
      </c>
      <c r="M12" s="20" t="inlineStr"/>
      <c r="N12" s="20" t="inlineStr"/>
      <c r="O12" s="11" t="n">
        <v>20</v>
      </c>
      <c r="P12" s="21" t="inlineStr"/>
      <c r="Q12" s="22" t="n">
        <v>316</v>
      </c>
      <c r="R12" s="22" t="inlineStr">
        <is>
          <t>내일 새벽 도착(로켓형)</t>
        </is>
      </c>
      <c r="S12" s="19" t="inlineStr"/>
      <c r="T12" s="23" t="inlineStr">
        <is>
          <t>업로드쿠팡실측</t>
        </is>
      </c>
      <c r="U12" s="23" t="inlineStr"/>
      <c r="V12" s="23" t="inlineStr">
        <is>
          <t>[로켓형위너→제외] 현재 배송 조건이 일반 판매자배송 경쟁에 불리하므로 사용자 요청에 따라 제외.</t>
        </is>
      </c>
    </row>
    <row r="13" ht="28" customHeight="1">
      <c r="A13" s="11" t="inlineStr">
        <is>
          <t>씽크에어</t>
        </is>
      </c>
      <c r="B13" s="11" t="inlineStr">
        <is>
          <t>12L 제습기 / 씽크에어 제습기</t>
        </is>
      </c>
      <c r="C13" s="12" t="inlineStr">
        <is>
          <t>(모델미노출)</t>
        </is>
      </c>
      <c r="D13" s="13" t="n"/>
      <c r="E13" s="14" t="inlineStr">
        <is>
          <t>https://search.danawa.com/dsearch.php?k1=%EC%94%BD%ED%81%AC%EC%97%90%EC%96%B4+12L+%EC%A0%9C%EC%8A%B5%EA%B8%B0</t>
        </is>
      </c>
      <c r="F13" s="14" t="inlineStr">
        <is>
          <t>https://www.coupang.com/vp/products/5794887762</t>
        </is>
      </c>
      <c r="G13" s="15" t="n">
        <v>189000</v>
      </c>
      <c r="H13" s="16">
        <f>IF(G13="","",ROUND(G13-D13-G13*0.1188-L13,0))</f>
        <v/>
      </c>
      <c r="I13" s="17">
        <f>IF(OR(G13="",G13=0),"",ROUND(H13/G13*100,1))</f>
        <v/>
      </c>
      <c r="J13" s="18">
        <f>IF(G13="","위너가필요",IF(H13&gt;=10,"✅마진OK","❌미달"))</f>
        <v/>
      </c>
      <c r="K13" s="16" t="n"/>
      <c r="L13" s="19" t="n">
        <v>0</v>
      </c>
      <c r="M13" s="20" t="inlineStr"/>
      <c r="N13" s="20" t="inlineStr"/>
      <c r="O13" s="11" t="n">
        <v>12</v>
      </c>
      <c r="P13" s="21" t="inlineStr"/>
      <c r="Q13" s="22" t="n">
        <v>1631</v>
      </c>
      <c r="R13" s="22" t="inlineStr">
        <is>
          <t>내일 도착 보장(로켓형)</t>
        </is>
      </c>
      <c r="S13" s="19" t="inlineStr"/>
      <c r="T13" s="23" t="inlineStr">
        <is>
          <t>업로드쿠팡실측</t>
        </is>
      </c>
      <c r="U13" s="23" t="inlineStr"/>
      <c r="V13" s="23" t="inlineStr">
        <is>
          <t>[로켓형위너→제외] 리뷰는 강하지만 로켓형 배송이며 정확 모델번호도 확인되지 않아 제외.</t>
        </is>
      </c>
    </row>
    <row r="14" ht="28" customHeight="1">
      <c r="A14" s="11" t="inlineStr">
        <is>
          <t>스마트에버</t>
        </is>
      </c>
      <c r="B14" s="11" t="inlineStr">
        <is>
          <t>20L 제습기 / 스마트에버 제습기</t>
        </is>
      </c>
      <c r="C14" s="12" t="inlineStr">
        <is>
          <t>SD-20L</t>
        </is>
      </c>
      <c r="D14" s="13" t="n"/>
      <c r="E14" s="14" t="inlineStr">
        <is>
          <t>https://search.danawa.com/dsearch.php?k1=SD-20L+%EC%A0%9C%EC%8A%B5%EA%B8%B0</t>
        </is>
      </c>
      <c r="F14" s="14" t="inlineStr">
        <is>
          <t>https://www.coupang.com/vp/products/8787273036</t>
        </is>
      </c>
      <c r="G14" s="15" t="n">
        <v>199200</v>
      </c>
      <c r="H14" s="16">
        <f>IF(G14="","",ROUND(G14-D14-G14*0.1188-L14,0))</f>
        <v/>
      </c>
      <c r="I14" s="17">
        <f>IF(OR(G14="",G14=0),"",ROUND(H14/G14*100,1))</f>
        <v/>
      </c>
      <c r="J14" s="18">
        <f>IF(G14="","위너가필요",IF(H14&gt;=10,"✅마진OK","❌미달"))</f>
        <v/>
      </c>
      <c r="K14" s="16" t="n"/>
      <c r="L14" s="19" t="n">
        <v>0</v>
      </c>
      <c r="M14" s="20" t="inlineStr"/>
      <c r="N14" s="20" t="inlineStr"/>
      <c r="O14" s="11" t="n">
        <v>20</v>
      </c>
      <c r="P14" s="21" t="inlineStr"/>
      <c r="Q14" s="22" t="n">
        <v>64</v>
      </c>
      <c r="R14" s="22" t="inlineStr">
        <is>
          <t>내일 도착(로켓형)</t>
        </is>
      </c>
      <c r="S14" s="19" t="inlineStr"/>
      <c r="T14" s="23" t="inlineStr">
        <is>
          <t>업로드쿠팡실측</t>
        </is>
      </c>
      <c r="U14" s="23" t="inlineStr"/>
      <c r="V14" s="23" t="inlineStr">
        <is>
          <t>[로켓형위너→제외] 상품평은 기준을 넘지만 현재 배송 경쟁력이 로켓형이라 제외.</t>
        </is>
      </c>
    </row>
    <row r="15" ht="28" customHeight="1">
      <c r="A15" s="11" t="inlineStr">
        <is>
          <t>홈플래닛</t>
        </is>
      </c>
      <c r="B15" s="11" t="inlineStr">
        <is>
          <t>20L 제습기 / 홈플래닛 제습기</t>
        </is>
      </c>
      <c r="C15" s="12" t="inlineStr">
        <is>
          <t>(모델미노출)</t>
        </is>
      </c>
      <c r="D15" s="13" t="n"/>
      <c r="E15" s="14" t="inlineStr">
        <is>
          <t>https://search.danawa.com/dsearch.php?k1=%ED%99%88%ED%94%8C%EB%9E%98%EB%8B%9B+20L+%EC%A0%9C%EC%8A%B5%EA%B8%B0</t>
        </is>
      </c>
      <c r="F15" s="14" t="inlineStr">
        <is>
          <t>https://www.coupang.com/vp/products/4833430379</t>
        </is>
      </c>
      <c r="G15" s="15" t="n">
        <v>169990</v>
      </c>
      <c r="H15" s="16">
        <f>IF(G15="","",ROUND(G15-D15-G15*0.1188-L15,0))</f>
        <v/>
      </c>
      <c r="I15" s="17">
        <f>IF(OR(G15="",G15=0),"",ROUND(H15/G15*100,1))</f>
        <v/>
      </c>
      <c r="J15" s="18">
        <f>IF(G15="","위너가필요",IF(H15&gt;=10,"✅마진OK","❌미달"))</f>
        <v/>
      </c>
      <c r="K15" s="16" t="n"/>
      <c r="L15" s="19" t="n">
        <v>0</v>
      </c>
      <c r="M15" s="20" t="inlineStr"/>
      <c r="N15" s="20" t="inlineStr"/>
      <c r="O15" s="11" t="n">
        <v>20</v>
      </c>
      <c r="P15" s="21" t="inlineStr"/>
      <c r="Q15" s="22" t="n">
        <v>1304</v>
      </c>
      <c r="R15" s="22" t="inlineStr">
        <is>
          <t>내일 도착 보장(로켓형)</t>
        </is>
      </c>
      <c r="S15" s="19" t="inlineStr"/>
      <c r="T15" s="23" t="inlineStr">
        <is>
          <t>업로드쿠팡실측</t>
        </is>
      </c>
      <c r="U15" s="23" t="inlineStr"/>
      <c r="V15" s="23" t="inlineStr">
        <is>
          <t>[로켓형위너→제외] 쿠팡 PB 성격과 로켓형 배송으로 다나와 소싱 후 위너 진입 대상에 부적합.</t>
        </is>
      </c>
    </row>
    <row r="16" ht="28" customHeight="1">
      <c r="A16" s="11" t="inlineStr">
        <is>
          <t>Qicco</t>
        </is>
      </c>
      <c r="B16" s="11" t="inlineStr">
        <is>
          <t>12L 제습기 / Qicco 제습기</t>
        </is>
      </c>
      <c r="C16" s="12" t="inlineStr">
        <is>
          <t>LM-CSJ-01</t>
        </is>
      </c>
      <c r="D16" s="13" t="n"/>
      <c r="E16" s="14" t="inlineStr">
        <is>
          <t>https://search.danawa.com/dsearch.php?k1=LM-CSJ-01</t>
        </is>
      </c>
      <c r="F16" s="14" t="inlineStr">
        <is>
          <t>https://www.coupang.com/vp/products/9442303907?itemId=28085160581&amp;vendorItemId=95502042063</t>
        </is>
      </c>
      <c r="G16" s="15" t="n">
        <v>119000</v>
      </c>
      <c r="H16" s="16">
        <f>IF(G16="","",ROUND(G16-D16-G16*0.1188-L16,0))</f>
        <v/>
      </c>
      <c r="I16" s="17">
        <f>IF(OR(G16="",G16=0),"",ROUND(H16/G16*100,1))</f>
        <v/>
      </c>
      <c r="J16" s="18">
        <f>IF(G16="","위너가필요",IF(H16&gt;=10,"✅마진OK","❌미달"))</f>
        <v/>
      </c>
      <c r="K16" s="16" t="n"/>
      <c r="L16" s="19" t="n">
        <v>0</v>
      </c>
      <c r="M16" s="20" t="inlineStr"/>
      <c r="N16" s="20" t="inlineStr"/>
      <c r="O16" s="11" t="n">
        <v>12</v>
      </c>
      <c r="P16" s="21" t="inlineStr"/>
      <c r="Q16" s="22" t="n">
        <v>674</v>
      </c>
      <c r="R16" s="22" t="inlineStr">
        <is>
          <t>내일 도착(로켓형)</t>
        </is>
      </c>
      <c r="S16" s="19" t="inlineStr"/>
      <c r="T16" s="23" t="inlineStr">
        <is>
          <t>업로드쿠팡실측</t>
        </is>
      </c>
      <c r="U16" s="23" t="inlineStr"/>
      <c r="V16" s="23" t="inlineStr">
        <is>
          <t>[로켓형위너→제외] 로켓그로스형 또는 신품 판매자 1명 단독 위너 예시로 사용자 직접 제외 지정.</t>
        </is>
      </c>
    </row>
    <row r="17" ht="28" customHeight="1">
      <c r="A17" s="11" t="inlineStr">
        <is>
          <t>홈플래닛</t>
        </is>
      </c>
      <c r="B17" s="11" t="inlineStr">
        <is>
          <t>0L 제습기 / 홈플래닛 제습기</t>
        </is>
      </c>
      <c r="C17" s="12" t="inlineStr">
        <is>
          <t>T8</t>
        </is>
      </c>
      <c r="D17" s="13" t="n">
        <v>32990</v>
      </c>
      <c r="E17" s="14" t="inlineStr">
        <is>
          <t>https://search.danawa.com/dsearch.php?query=%ED%99%88%ED%94%8C%EB%9E%98%EB%8B%9B%20%EC%A0%9C%EC%8A%B5%EA%B8%B0</t>
        </is>
      </c>
      <c r="F17" s="14" t="inlineStr">
        <is>
          <t>https://www.coupang.com/np/search?q=T8</t>
        </is>
      </c>
      <c r="G17" s="15" t="n"/>
      <c r="H17" s="16">
        <f>IF(G17="","",ROUND(G17-D17-G17*0.1188-L17,0))</f>
        <v/>
      </c>
      <c r="I17" s="17">
        <f>IF(OR(G17="",G17=0),"",ROUND(H17/G17*100,1))</f>
        <v/>
      </c>
      <c r="J17" s="18">
        <f>IF(G17="","위너가필요",IF(H17&gt;=10,"✅마진OK","❌미달"))</f>
        <v/>
      </c>
      <c r="K17" s="16" t="n">
        <v>37438</v>
      </c>
      <c r="L17" s="19" t="n">
        <v>0</v>
      </c>
      <c r="M17" s="20" t="inlineStr">
        <is>
          <t>쿠팡</t>
        </is>
      </c>
      <c r="N17" s="20" t="inlineStr">
        <is>
          <t>⚠쿠팡이최저=마진X / 2위:옥션=41,250원</t>
        </is>
      </c>
      <c r="O17" s="11" t="inlineStr">
        <is>
          <t>0.3</t>
        </is>
      </c>
      <c r="P17" s="21" t="n">
        <v>3</v>
      </c>
      <c r="Q17" s="22" t="inlineStr"/>
      <c r="R17" s="22" t="inlineStr"/>
      <c r="S17" s="19" t="inlineStr"/>
      <c r="T17" s="23" t="inlineStr">
        <is>
          <t>내조사(다나와84)</t>
        </is>
      </c>
      <c r="U17" s="23" t="inlineStr"/>
      <c r="V17" s="23" t="inlineStr"/>
    </row>
    <row r="18" ht="28" customHeight="1">
      <c r="A18" s="11" t="inlineStr">
        <is>
          <t>한경희이지라이프</t>
        </is>
      </c>
      <c r="B18" s="11" t="inlineStr">
        <is>
          <t>0L 제습기 / 한경희이지라이프 제습기</t>
        </is>
      </c>
      <c r="C18" s="12" t="inlineStr">
        <is>
          <t>HD-1500</t>
        </is>
      </c>
      <c r="D18" s="13" t="n">
        <v>59900</v>
      </c>
      <c r="E18" s="14" t="inlineStr">
        <is>
          <t>https://search.danawa.com/dsearch.php?query=%ED%95%9C%EA%B2%BD%ED%9D%AC%20%EC%A0%9C%EC%8A%B5%EA%B8%B0</t>
        </is>
      </c>
      <c r="F18" s="14" t="inlineStr">
        <is>
          <t>https://www.coupang.com/np/search?q=HD-1500</t>
        </is>
      </c>
      <c r="G18" s="15" t="n"/>
      <c r="H18" s="16">
        <f>IF(G18="","",ROUND(G18-D18-G18*0.1188-L18,0))</f>
        <v/>
      </c>
      <c r="I18" s="17">
        <f>IF(OR(G18="",G18=0),"",ROUND(H18/G18*100,1))</f>
        <v/>
      </c>
      <c r="J18" s="18">
        <f>IF(G18="","위너가필요",IF(H18&gt;=10,"✅마진OK","❌미달"))</f>
        <v/>
      </c>
      <c r="K18" s="16" t="n">
        <v>67975</v>
      </c>
      <c r="L18" s="19" t="n">
        <v>0</v>
      </c>
      <c r="M18" s="20" t="inlineStr">
        <is>
          <t>쿠팡</t>
        </is>
      </c>
      <c r="N18" s="20" t="inlineStr">
        <is>
          <t>⚠쿠팡이최저=마진X / 2위:오늘의집=59,900원</t>
        </is>
      </c>
      <c r="O18" s="11" t="inlineStr">
        <is>
          <t>0.3</t>
        </is>
      </c>
      <c r="P18" s="21" t="n">
        <v>26</v>
      </c>
      <c r="Q18" s="22" t="inlineStr"/>
      <c r="R18" s="22" t="inlineStr"/>
      <c r="S18" s="19" t="inlineStr"/>
      <c r="T18" s="23" t="inlineStr">
        <is>
          <t>내조사(다나와84)</t>
        </is>
      </c>
      <c r="U18" s="23" t="inlineStr">
        <is>
          <t>[신호/리드, 미검증] HD-1500 개별 모델에 대한 쿠팡 리뷰 수·인기 지표를 직접 확인할 수 있는 2차 자료(블로그/유튜브/네이버)는 검색에서 발견되지 않음. 다만 상위 브랜드인 '한경희생활과학/한경희이지라이프'는 쿠팡에 공식 브랜드샵(brand-shop)을 운영 중이며(쿠팡 브랜드 추천 페이지 노출), 가습기 등 일부 한경희이지라이프 제품은 개별 상품 페이지가 존재해 브랜드 차원의 쿠팡 유통·노출은 활성 상태로 보임. 즉 HD-1500 단일 모델의 인기/리뷰 규모는 '미확인'이며, 브랜드 레벨 존재감만 확인되는 리드 수준.</t>
        </is>
      </c>
      <c r="V18" s="23" t="inlineStr">
        <is>
          <t>[위험 신호 리드, 미검증] ①성능불만: 한경희 스팀청소기 계열 후기에서 '닦은 뒤 물기가 많이 남음', '세척력 다소 약함', '역방향으로 밀지 않으면 발자국 남음' 지적 반복(82cook/클리앙). ②AS/사후대응 리스크: 고객이 단점 제기 시 서비스센터 대응이 부정적이라는 언급, '최근 AS센터가 전부 문을 닫았다'는 주장 존재(미검증, 확인필요). ③바이럴/과장광고 우려: 쿠팡 리뷰 전반에 대해 '바이럴 작업', '리뷰가 지나치게 정성스럽다'는 소비자 커뮤니티(클리앙) 지적 다수 — 특정 제품 확정 아님, 쿠팡 리뷰 신뢰성 일반론. ④반품: 수령 7일 이내 반품/교환 가능, 불량·오배송 시 반품비 무료(브랜드 정책). HD-1500 특정 반품률 데이터는 없음.</t>
        </is>
      </c>
    </row>
    <row r="19" ht="28" customHeight="1">
      <c r="A19" s="11" t="inlineStr">
        <is>
          <t>신일</t>
        </is>
      </c>
      <c r="B19" s="11" t="inlineStr">
        <is>
          <t>0L 제습기 / 신일 제습기</t>
        </is>
      </c>
      <c r="C19" s="12" t="inlineStr">
        <is>
          <t>SDH-WIN326KP</t>
        </is>
      </c>
      <c r="D19" s="13" t="n">
        <v>69540</v>
      </c>
      <c r="E19" s="14" t="inlineStr">
        <is>
          <t>https://search.danawa.com/dsearch.php?query=%EC%8B%A0%EC%9D%BC%20%EC%A0%9C%EC%8A%B5%EA%B8%B0</t>
        </is>
      </c>
      <c r="F19" s="14" t="inlineStr">
        <is>
          <t>https://www.coupang.com/np/search?q=SDH-WIN326KP</t>
        </is>
      </c>
      <c r="G19" s="15" t="n"/>
      <c r="H19" s="16">
        <f>IF(G19="","",ROUND(G19-D19-G19*0.1188-L19,0))</f>
        <v/>
      </c>
      <c r="I19" s="17">
        <f>IF(OR(G19="",G19=0),"",ROUND(H19/G19*100,1))</f>
        <v/>
      </c>
      <c r="J19" s="18">
        <f>IF(G19="","위너가필요",IF(H19&gt;=10,"✅마진OK","❌미달"))</f>
        <v/>
      </c>
      <c r="K19" s="16" t="n">
        <v>78915</v>
      </c>
      <c r="L19" s="19" t="n">
        <v>0</v>
      </c>
      <c r="M19" s="20" t="inlineStr">
        <is>
          <t>옥션</t>
        </is>
      </c>
      <c r="N19" s="20" t="inlineStr">
        <is>
          <t>2위:쿠팡=80,100원</t>
        </is>
      </c>
      <c r="O19" s="11" t="inlineStr">
        <is>
          <t>0.102</t>
        </is>
      </c>
      <c r="P19" s="21" t="n">
        <v>199</v>
      </c>
      <c r="Q19" s="22" t="inlineStr"/>
      <c r="R19" s="22" t="inlineStr"/>
      <c r="S19" s="19" t="inlineStr"/>
      <c r="T19" s="23" t="inlineStr">
        <is>
          <t>내조사(다나와84)</t>
        </is>
      </c>
      <c r="U19" s="23" t="inlineStr">
        <is>
          <t>쿠팡 자체 리뷰 수는 직접 확인 불가(쿠팡 페이지 접근 불가). 2차 자료 기준 신호/리드 수준: 다나와 통합 상품리뷰 약 28건·별점 4.3, 신세계몰 약 16건, GS샵 소수(1~4건) 등 여러 채널에 리뷰가 분산 존재. 오늘의집 '신일제습기' 관련 71건 노출 등 브랜드 단위 노출은 있으나 '이 모델 단독'의 블로그/유튜브 심층 후기는 검색에서 확인되지 않음. 종합하면 폭발적 인기라기보다 소형·저가 미니제습기 카테고리의 '중간 정도 노출/리뷰' 신호로 보이며, 쿠팡 리뷰 수는 추정하지 말고 실제 페이지 확인 필요.</t>
        </is>
      </c>
      <c r="V19" s="23" t="inlineStr">
        <is>
          <t>모델 개별 반품/과장광고 사례는 검색에서 직접 확인 안 됨. 다만 카테고리(미니 펠티어 제습기) 공통 위험 신호 존재: (1) 성능 불만 가능성 — 펠티어 방식은 일일 제습량이 낮아(본 모델 약 0.102L/일) 원룸·거실 등 넓은 공간에서 '무쓸모/물먹는하마 수준'이라는 비판적 리뷰 다수(SOTHEB 등). (2) 과장광고 리스크 — '원룸/베란다/4계절 제습' 마케팅 대비 실제 제습 능력 낮아 기대불일치→저평점·반품 유발 소지. (3) 화장실·옷장 등 협소공간 한정 용도로 포지셔닝해야 클레임 최소화. 소싱 시 상세페이지 성능 표기 과장 여부 및 쿠팡 실제 별점/반품평 직접 검수 권장.</t>
        </is>
      </c>
    </row>
    <row r="20" ht="28" customHeight="1">
      <c r="A20" s="11" t="inlineStr">
        <is>
          <t>보아르</t>
        </is>
      </c>
      <c r="B20" s="11" t="inlineStr">
        <is>
          <t>1L 제습기 / 보아르 제습기</t>
        </is>
      </c>
      <c r="C20" s="12" t="inlineStr">
        <is>
          <t>VO-DH004</t>
        </is>
      </c>
      <c r="D20" s="13" t="n">
        <v>87000</v>
      </c>
      <c r="E20" s="14" t="inlineStr">
        <is>
          <t>https://search.danawa.com/dsearch.php?query=%EB%B3%B4%EC%95%84%EB%A5%B4%20%EC%A0%9C%EC%8A%B5%EA%B8%B0</t>
        </is>
      </c>
      <c r="F20" s="14" t="inlineStr">
        <is>
          <t>https://www.coupang.com/np/search?q=VO-DH004</t>
        </is>
      </c>
      <c r="G20" s="15" t="n"/>
      <c r="H20" s="16">
        <f>IF(G20="","",ROUND(G20-D20-G20*0.1188-L20,0))</f>
        <v/>
      </c>
      <c r="I20" s="17">
        <f>IF(OR(G20="",G20=0),"",ROUND(H20/G20*100,1))</f>
        <v/>
      </c>
      <c r="J20" s="18">
        <f>IF(G20="","위너가필요",IF(H20&gt;=10,"✅마진OK","❌미달"))</f>
        <v/>
      </c>
      <c r="K20" s="16" t="n">
        <v>98729</v>
      </c>
      <c r="L20" s="19" t="n">
        <v>0</v>
      </c>
      <c r="M20" s="20" t="inlineStr">
        <is>
          <t>쿠팡</t>
        </is>
      </c>
      <c r="N20" s="20" t="inlineStr">
        <is>
          <t>⚠쿠팡이최저=마진X / 2위:보아르샵 네이버페이=89,000원</t>
        </is>
      </c>
      <c r="O20" s="11" t="inlineStr">
        <is>
          <t>0.75</t>
        </is>
      </c>
      <c r="P20" s="21" t="n">
        <v>27</v>
      </c>
      <c r="Q20" s="22" t="inlineStr"/>
      <c r="R20" s="22" t="inlineStr"/>
      <c r="S20" s="19" t="inlineStr"/>
      <c r="T20" s="23" t="inlineStr">
        <is>
          <t>내조사(다나와84)</t>
        </is>
      </c>
      <c r="U20" s="23" t="inlineStr">
        <is>
          <t>[신호/리드 — 확정 아님] 쿠팡에 "오아&amp;보아르" 공식 브랜드 스토어(shop.coupang.com/A00065399)가 존재하고 정가 97,000원에서 약 10% 할인 87,000원대로 판매 중이라는 2차 언급이 있음. 다나와 DPG·퀘이사존·무신사 등에 구매 후기 콘텐츠가 다수 존재해 '유통·후기 언급량은 있는 편'으로 판단. 검색 스니펫상 별점 4.2 / 리뷰 약 630건 수치가 등장하나 이는 쿠팡 확정 리뷰 수로 검증되지 않은 2차 신호이므로 리드로만 취급. 종합: 대형 히트 상품 수준의 강한 신호는 아니고 '중간 정도의 관심·후기 존재' 신호.</t>
        </is>
      </c>
      <c r="V20" s="23" t="inlineStr">
        <is>
          <t>[성능불만] 원룸 실내 제습·빨래 실내건조 용도로는 무리라는 후기(일일제습 0.75L 소형 펠티어 방식 한계). 터보모드 바람세기가 약하다는 지적. [소음] 터보모드 동작음이 심해 외출 시 가동 권장한다는 후기 — 소음 불만 신호. [과장광고 잠재] '원룸형 제습기'로 마케팅되나 실사용 제습·건조 성능이 기대 이하라는 괴리 → 성능 기대치 관련 반품/불만 리스크 가능. 긍정 후기(제습 잘된다)도 병존해 개인 기대치 편차 큼.</t>
        </is>
      </c>
    </row>
    <row r="21" ht="28" customHeight="1">
      <c r="A21" s="11" t="inlineStr">
        <is>
          <t>보아르</t>
        </is>
      </c>
      <c r="B21" s="11" t="inlineStr">
        <is>
          <t>1L 제습기 / 보아르 제습기</t>
        </is>
      </c>
      <c r="C21" s="12" t="inlineStr">
        <is>
          <t>VO-DH002</t>
        </is>
      </c>
      <c r="D21" s="13" t="n">
        <v>94000</v>
      </c>
      <c r="E21" s="14" t="inlineStr">
        <is>
          <t>https://search.danawa.com/dsearch.php?query=%EB%B3%B4%EC%95%84%EB%A5%B4%20%EC%A0%9C%EC%8A%B5%EA%B8%B0</t>
        </is>
      </c>
      <c r="F21" s="14" t="inlineStr">
        <is>
          <t>https://www.coupang.com/np/search?q=VO-DH002</t>
        </is>
      </c>
      <c r="G21" s="15" t="n"/>
      <c r="H21" s="16">
        <f>IF(G21="","",ROUND(G21-D21-G21*0.1188-L21,0))</f>
        <v/>
      </c>
      <c r="I21" s="17">
        <f>IF(OR(G21="",G21=0),"",ROUND(H21/G21*100,1))</f>
        <v/>
      </c>
      <c r="J21" s="18">
        <f>IF(G21="","위너가필요",IF(H21&gt;=10,"✅마진OK","❌미달"))</f>
        <v/>
      </c>
      <c r="K21" s="16" t="n">
        <v>106673</v>
      </c>
      <c r="L21" s="19" t="n">
        <v>0</v>
      </c>
      <c r="M21" s="20" t="inlineStr">
        <is>
          <t>쿠팡</t>
        </is>
      </c>
      <c r="N21" s="20" t="inlineStr">
        <is>
          <t>⚠쿠팡이최저=마진X / 2위:SK스토아=99,000원</t>
        </is>
      </c>
      <c r="O21" s="11" t="inlineStr">
        <is>
          <t>0.75</t>
        </is>
      </c>
      <c r="P21" s="21" t="n">
        <v>49</v>
      </c>
      <c r="Q21" s="22" t="inlineStr"/>
      <c r="R21" s="22" t="inlineStr"/>
      <c r="S21" s="19" t="inlineStr"/>
      <c r="T21" s="23" t="inlineStr">
        <is>
          <t>내조사(다나와84)</t>
        </is>
      </c>
      <c r="U21" s="23" t="inlineStr">
        <is>
          <t>쿠팡 직접 접근 불가로 확정 리뷰 수 검증 불가. 2차 자료 기준 '신호/리드'만 정리: (1) 블로그·리뷰 콘텐츠가 다수 존재하며 '제습기 추천 총정리', '내돈내산 실사용 후기 모음' 등 어필리에이트성 소개글에 반복 등장 → 온라인 노출/판매 유통이 활발한 모델로 추정. (2) SSG.COM 기준 평점 4.6/5, 리뷰 84건(쿠팡 아님, 참고용 벤치마크). (3) 다나와 가격비교, 11번가, 홈쇼핑모아, nosearch 등 여러 채널에 등재 → 대중 유통 제품. 쿠팡 자체의 인기/리뷰 수치는 이번 검색으로 확인되지 않음(추가 확인 필요).</t>
        </is>
      </c>
      <c r="V21" s="23" t="inlineStr">
        <is>
          <t>신호 수준 위험: (1) 소음 불만 — '밤에는 끄고 자야 할 정도로 소음 있음' 후기 존재(제품 특성상 성능불만 소지). (2) 배송/품질 — 택배 과정에서 내부 필터 손상 사례 언급 → 반품/교환 유발 가능. (3) 이동성 불만 — 작은 사이즈 대비 무겁고 허리 숙여 옮겨야 함. (4) 소형(0.75L/9평) 제품이라 실사용 대비 기대치 과대 시 성능불만·반품 리스크. 명백한 허위/과장광고 신호는 이번 검색에서 특정되지 않음(추가 확인 필요).</t>
        </is>
      </c>
    </row>
    <row r="22" ht="28" customHeight="1">
      <c r="A22" s="11" t="inlineStr">
        <is>
          <t>홈플래닛</t>
        </is>
      </c>
      <c r="B22" s="11" t="inlineStr">
        <is>
          <t>7L 제습기 / 홈플래닛 제습기</t>
        </is>
      </c>
      <c r="C22" s="12" t="inlineStr">
        <is>
          <t>NEK-DH0612L</t>
        </is>
      </c>
      <c r="D22" s="13" t="n">
        <v>118800</v>
      </c>
      <c r="E22" s="14" t="inlineStr">
        <is>
          <t>https://search.danawa.com/dsearch.php?query=%ED%99%88%ED%94%8C%EB%9E%98%EB%8B%9B%20%EC%A0%9C%EC%8A%B5%EA%B8%B0</t>
        </is>
      </c>
      <c r="F22" s="14" t="inlineStr">
        <is>
          <t>https://www.coupang.com/np/search?q=NEK-DH0612L</t>
        </is>
      </c>
      <c r="G22" s="15" t="n"/>
      <c r="H22" s="16">
        <f>IF(G22="","",ROUND(G22-D22-G22*0.1188-L22,0))</f>
        <v/>
      </c>
      <c r="I22" s="17">
        <f>IF(OR(G22="",G22=0),"",ROUND(H22/G22*100,1))</f>
        <v/>
      </c>
      <c r="J22" s="18">
        <f>IF(G22="","위너가필요",IF(H22&gt;=10,"✅마진OK","❌미달"))</f>
        <v/>
      </c>
      <c r="K22" s="16" t="n">
        <v>134816</v>
      </c>
      <c r="L22" s="19" t="n">
        <v>0</v>
      </c>
      <c r="M22" s="20" t="inlineStr">
        <is>
          <t>쿠팡</t>
        </is>
      </c>
      <c r="N22" s="20" t="inlineStr">
        <is>
          <t>⚠쿠팡이최저=마진X / 2위:옥션/G마켓=175,750원</t>
        </is>
      </c>
      <c r="O22" s="11" t="inlineStr">
        <is>
          <t>7.2</t>
        </is>
      </c>
      <c r="P22" s="21" t="n">
        <v>11</v>
      </c>
      <c r="Q22" s="22" t="inlineStr"/>
      <c r="R22" s="22" t="inlineStr"/>
      <c r="S22" s="19" t="inlineStr"/>
      <c r="T22" s="23" t="inlineStr">
        <is>
          <t>내조사(다나와84)</t>
        </is>
      </c>
      <c r="U22" s="23" t="inlineStr"/>
      <c r="V22" s="23" t="inlineStr"/>
    </row>
    <row r="23" ht="28" customHeight="1">
      <c r="A23" s="11" t="inlineStr">
        <is>
          <t>쿠쿠</t>
        </is>
      </c>
      <c r="B23" s="11" t="inlineStr">
        <is>
          <t>6L 제습기 / 쿠쿠 제습기</t>
        </is>
      </c>
      <c r="C23" s="12" t="inlineStr">
        <is>
          <t>DH-V06201EB</t>
        </is>
      </c>
      <c r="D23" s="13" t="n">
        <v>127300</v>
      </c>
      <c r="E23" s="14" t="inlineStr">
        <is>
          <t>https://search.danawa.com/dsearch.php?query=%EC%BF%A0%EC%BF%A0%20%EC%A0%9C%EC%8A%B5%EA%B8%B0</t>
        </is>
      </c>
      <c r="F23" s="14" t="inlineStr">
        <is>
          <t>https://www.coupang.com/np/search?q=DH-V06201EB</t>
        </is>
      </c>
      <c r="G23" s="15" t="n"/>
      <c r="H23" s="16">
        <f>IF(G23="","",ROUND(G23-D23-G23*0.1188-L23,0))</f>
        <v/>
      </c>
      <c r="I23" s="17">
        <f>IF(OR(G23="",G23=0),"",ROUND(H23/G23*100,1))</f>
        <v/>
      </c>
      <c r="J23" s="18">
        <f>IF(G23="","위너가필요",IF(H23&gt;=10,"✅마진OK","❌미달"))</f>
        <v/>
      </c>
      <c r="K23" s="16" t="n">
        <v>144462</v>
      </c>
      <c r="L23" s="19" t="n">
        <v>0</v>
      </c>
      <c r="M23" s="20" t="inlineStr">
        <is>
          <t>쿠팡</t>
        </is>
      </c>
      <c r="N23" s="20" t="inlineStr">
        <is>
          <t>⚠쿠팡이최저=마진X / 2위:롯데ON=135,360원</t>
        </is>
      </c>
      <c r="O23" s="11" t="inlineStr">
        <is>
          <t>5.5</t>
        </is>
      </c>
      <c r="P23" s="21" t="n">
        <v>162</v>
      </c>
      <c r="Q23" s="22" t="inlineStr"/>
      <c r="R23" s="22" t="inlineStr"/>
      <c r="S23" s="19" t="inlineStr"/>
      <c r="T23" s="23" t="inlineStr">
        <is>
          <t>내조사(다나와84)</t>
        </is>
      </c>
      <c r="U23" s="23" t="inlineStr">
        <is>
          <t>[신호/리드, 미검증] 쿠팡 자체 후기 수·별점은 직접 확인 불가. 2차 자료 기준 간접 신호만 존재: (1) 다나와 통합검색상 상품리뷰 약 15건 / 별점 4.6점(쿠팡 아님, 가격비교 집계) — 리뷰 볼륨은 크지 않은 편. (2) 네이버 공식 판매처 소비자평가 4.82/5점(고평점이나 표본 수 미확인). (3) 쿠쿠 공식몰 리뷰 4건으로 매우 적음. (4) 쿠팡 판매(약 122,200원, 익일배송) 및 카카오 선물하기 등 주요 채널 입점은 확인됨. 종합: '고평점이지만 리뷰 축적량은 아직 적은' 신흥/중소볼륨 상품 신호. 폭발적 인기 베스트셀러 신호는 발견되지 않음.</t>
        </is>
      </c>
      <c r="V23" s="23" t="inlineStr">
        <is>
          <t>[위험 신호] 가장 반복되는 불만은 '소음'. 언론/블로그 후기(다음 뉴스, 블로그)에서 케이스가 흔들려 소음 발생, 밤 사용 시 시끄러움, 예상보다 훨씬 시끄러움, 내부에서 흔들리는 소리 등 소음·마감 품질 불만이 다수. 성능(제습력) 자체는 대체로 긍정적이어서 '성능 좋지만 소음 불만' 구도. 과장광고나 대량 반품 관련 명시적 신호는 이번 검색에서 확인되지 않음(→ 실제 쿠팡 리뷰에서 소음발 반품/환불 언급 여부 추가 확인 필요). 유의: 초기 검색에서 이 모델을 '정수기'로 오인한 자료가 섞임 — 실제로는 제습기이므로 정수기 필터/멤버십 관련 리스크는 무관.</t>
        </is>
      </c>
    </row>
    <row r="24" ht="28" customHeight="1">
      <c r="A24" s="11" t="inlineStr">
        <is>
          <t>한경희생활과학</t>
        </is>
      </c>
      <c r="B24" s="11" t="inlineStr">
        <is>
          <t>8L 제습기 / 한경희생활과학 제습기</t>
        </is>
      </c>
      <c r="C24" s="12" t="inlineStr">
        <is>
          <t>HE-D781</t>
        </is>
      </c>
      <c r="D24" s="13" t="n">
        <v>143900</v>
      </c>
      <c r="E24" s="14" t="inlineStr">
        <is>
          <t>https://search.danawa.com/dsearch.php?query=%ED%95%9C%EA%B2%BD%ED%9D%AC%20%EC%A0%9C%EC%8A%B5%EA%B8%B0</t>
        </is>
      </c>
      <c r="F24" s="14" t="inlineStr">
        <is>
          <t>https://www.coupang.com/np/search?q=HE-D781</t>
        </is>
      </c>
      <c r="G24" s="15" t="n"/>
      <c r="H24" s="16">
        <f>IF(G24="","",ROUND(G24-D24-G24*0.1188-L24,0))</f>
        <v/>
      </c>
      <c r="I24" s="17">
        <f>IF(OR(G24="",G24=0),"",ROUND(H24/G24*100,1))</f>
        <v/>
      </c>
      <c r="J24" s="18">
        <f>IF(G24="","위너가필요",IF(H24&gt;=10,"✅마진OK","❌미달"))</f>
        <v/>
      </c>
      <c r="K24" s="16" t="n">
        <v>163300</v>
      </c>
      <c r="L24" s="19" t="n">
        <v>0</v>
      </c>
      <c r="M24" s="20" t="inlineStr">
        <is>
          <t>쿠팡</t>
        </is>
      </c>
      <c r="N24" s="20" t="inlineStr">
        <is>
          <t>⚠쿠팡이최저=마진X / 2위:확인불가 (추가 판매처 정보 노출 안됨)</t>
        </is>
      </c>
      <c r="O24" s="11" t="inlineStr">
        <is>
          <t>8</t>
        </is>
      </c>
      <c r="P24" s="21" t="n">
        <v>18</v>
      </c>
      <c r="Q24" s="22" t="inlineStr"/>
      <c r="R24" s="22" t="inlineStr"/>
      <c r="S24" s="19" t="inlineStr"/>
      <c r="T24" s="23" t="inlineStr">
        <is>
          <t>내조사(다나와84)</t>
        </is>
      </c>
      <c r="U24" s="23" t="inlineStr"/>
      <c r="V24" s="23" t="inlineStr"/>
    </row>
    <row r="25" ht="28" customHeight="1">
      <c r="A25" s="11" t="inlineStr">
        <is>
          <t>한경희생활과학</t>
        </is>
      </c>
      <c r="B25" s="11" t="inlineStr">
        <is>
          <t>8L 제습기 / 한경희생활과학 제습기</t>
        </is>
      </c>
      <c r="C25" s="12" t="inlineStr">
        <is>
          <t>HE-D780</t>
        </is>
      </c>
      <c r="D25" s="13" t="n">
        <v>144160</v>
      </c>
      <c r="E25" s="14" t="inlineStr">
        <is>
          <t>https://search.danawa.com/dsearch.php?query=%ED%95%9C%EA%B2%BD%ED%9D%AC%20%EC%A0%9C%EC%8A%B5%EA%B8%B0</t>
        </is>
      </c>
      <c r="F25" s="14" t="inlineStr">
        <is>
          <t>https://www.coupang.com/np/search?q=HE-D780</t>
        </is>
      </c>
      <c r="G25" s="15" t="n"/>
      <c r="H25" s="16">
        <f>IF(G25="","",ROUND(G25-D25-G25*0.1188-L25,0))</f>
        <v/>
      </c>
      <c r="I25" s="17">
        <f>IF(OR(G25="",G25=0),"",ROUND(H25/G25*100,1))</f>
        <v/>
      </c>
      <c r="J25" s="18">
        <f>IF(G25="","위너가필요",IF(H25&gt;=10,"✅마진OK","❌미달"))</f>
        <v/>
      </c>
      <c r="K25" s="16" t="n">
        <v>163595</v>
      </c>
      <c r="L25" s="19" t="n">
        <v>0</v>
      </c>
      <c r="M25" s="20" t="inlineStr">
        <is>
          <t>쿠팡</t>
        </is>
      </c>
      <c r="N25" s="20" t="inlineStr">
        <is>
          <t>⚠쿠팡이최저=마진X / 2위:네이버페이=174,400원</t>
        </is>
      </c>
      <c r="O25" s="11" t="inlineStr">
        <is>
          <t>8</t>
        </is>
      </c>
      <c r="P25" s="21" t="n">
        <v>15</v>
      </c>
      <c r="Q25" s="22" t="inlineStr"/>
      <c r="R25" s="22" t="inlineStr"/>
      <c r="S25" s="19" t="inlineStr"/>
      <c r="T25" s="23" t="inlineStr">
        <is>
          <t>내조사(다나와84)</t>
        </is>
      </c>
      <c r="U25" s="23" t="inlineStr"/>
      <c r="V25" s="23" t="inlineStr"/>
    </row>
    <row r="26" ht="28" customHeight="1">
      <c r="A26" s="11" t="inlineStr">
        <is>
          <t>한경희생활과학</t>
        </is>
      </c>
      <c r="B26" s="11" t="inlineStr">
        <is>
          <t>8L 제습기 / 한경희생활과학 제습기</t>
        </is>
      </c>
      <c r="C26" s="12" t="inlineStr">
        <is>
          <t>HEHD-B0712WTN</t>
        </is>
      </c>
      <c r="D26" s="13" t="n">
        <v>146000</v>
      </c>
      <c r="E26" s="14" t="inlineStr">
        <is>
          <t>https://search.danawa.com/dsearch.php?query=%ED%95%9C%EA%B2%BD%ED%9D%AC%20%EC%A0%9C%EC%8A%B5%EA%B8%B0</t>
        </is>
      </c>
      <c r="F26" s="14" t="inlineStr">
        <is>
          <t>https://www.coupang.com/np/search?q=HEHD-B0712WTN</t>
        </is>
      </c>
      <c r="G26" s="15" t="n"/>
      <c r="H26" s="16">
        <f>IF(G26="","",ROUND(G26-D26-G26*0.1188-L26,0))</f>
        <v/>
      </c>
      <c r="I26" s="17">
        <f>IF(OR(G26="",G26=0),"",ROUND(H26/G26*100,1))</f>
        <v/>
      </c>
      <c r="J26" s="18">
        <f>IF(G26="","위너가필요",IF(H26&gt;=10,"✅마진OK","❌미달"))</f>
        <v/>
      </c>
      <c r="K26" s="16" t="n">
        <v>165683</v>
      </c>
      <c r="L26" s="19" t="n">
        <v>0</v>
      </c>
      <c r="M26" s="20" t="inlineStr">
        <is>
          <t>쿠팡</t>
        </is>
      </c>
      <c r="N26" s="20" t="inlineStr">
        <is>
          <t>⚠쿠팡이최저=마진X / 2위:없음 (판매처 1곳)</t>
        </is>
      </c>
      <c r="O26" s="11" t="inlineStr">
        <is>
          <t>8</t>
        </is>
      </c>
      <c r="P26" s="21" t="n">
        <v>4</v>
      </c>
      <c r="Q26" s="22" t="inlineStr"/>
      <c r="R26" s="22" t="inlineStr"/>
      <c r="S26" s="19" t="inlineStr"/>
      <c r="T26" s="23" t="inlineStr">
        <is>
          <t>내조사(다나와84)</t>
        </is>
      </c>
      <c r="U26" s="23" t="inlineStr"/>
      <c r="V26" s="23" t="inlineStr"/>
    </row>
    <row r="27" ht="28" customHeight="1">
      <c r="A27" s="11" t="inlineStr">
        <is>
          <t>보아르</t>
        </is>
      </c>
      <c r="B27" s="11" t="inlineStr">
        <is>
          <t>7L 제습기 / 보아르 제습기</t>
        </is>
      </c>
      <c r="C27" s="12" t="inlineStr">
        <is>
          <t>VO-DE001</t>
        </is>
      </c>
      <c r="D27" s="13" t="n">
        <v>148000</v>
      </c>
      <c r="E27" s="14" t="inlineStr">
        <is>
          <t>https://search.danawa.com/dsearch.php?query=%EB%B3%B4%EC%95%84%EB%A5%B4%20%EC%A0%9C%EC%8A%B5%EA%B8%B0</t>
        </is>
      </c>
      <c r="F27" s="14" t="inlineStr">
        <is>
          <t>https://www.coupang.com/np/search?q=VO-DE001</t>
        </is>
      </c>
      <c r="G27" s="15" t="n"/>
      <c r="H27" s="16">
        <f>IF(G27="","",ROUND(G27-D27-G27*0.1188-L27,0))</f>
        <v/>
      </c>
      <c r="I27" s="17">
        <f>IF(OR(G27="",G27=0),"",ROUND(H27/G27*100,1))</f>
        <v/>
      </c>
      <c r="J27" s="18">
        <f>IF(G27="","위너가필요",IF(H27&gt;=10,"✅마진OK","❌미달"))</f>
        <v/>
      </c>
      <c r="K27" s="16" t="n">
        <v>167953</v>
      </c>
      <c r="L27" s="19" t="n">
        <v>0</v>
      </c>
      <c r="M27" s="20" t="inlineStr">
        <is>
          <t>쿠팡</t>
        </is>
      </c>
      <c r="N27" s="20" t="inlineStr">
        <is>
          <t>⚠쿠팡이최저=마진X / 2위:현대Hmall=169,000원</t>
        </is>
      </c>
      <c r="O27" s="11" t="inlineStr">
        <is>
          <t>7</t>
        </is>
      </c>
      <c r="P27" s="21" t="n">
        <v>12</v>
      </c>
      <c r="Q27" s="22" t="inlineStr"/>
      <c r="R27" s="22" t="inlineStr"/>
      <c r="S27" s="19" t="inlineStr"/>
      <c r="T27" s="23" t="inlineStr">
        <is>
          <t>내조사(다나와84)</t>
        </is>
      </c>
      <c r="U27" s="23" t="inlineStr"/>
      <c r="V27" s="23" t="inlineStr"/>
    </row>
    <row r="28" ht="28" customHeight="1">
      <c r="A28" s="11" t="inlineStr">
        <is>
          <t>제니퍼룸</t>
        </is>
      </c>
      <c r="B28" s="11" t="inlineStr">
        <is>
          <t>7L 제습기 / 제니퍼룸 제습기</t>
        </is>
      </c>
      <c r="C28" s="12" t="inlineStr">
        <is>
          <t>JR-DH2001</t>
        </is>
      </c>
      <c r="D28" s="13" t="n">
        <v>149000</v>
      </c>
      <c r="E28" s="14" t="inlineStr">
        <is>
          <t>https://search.danawa.com/dsearch.php?query=%EC%A0%9C%EB%8B%88%ED%8D%BC%EB%A3%B8%20%EC%A0%9C%EC%8A%B5%EA%B8%B0</t>
        </is>
      </c>
      <c r="F28" s="14" t="inlineStr">
        <is>
          <t>https://www.coupang.com/np/search?q=JR-DH2001</t>
        </is>
      </c>
      <c r="G28" s="15" t="n"/>
      <c r="H28" s="16">
        <f>IF(G28="","",ROUND(G28-D28-G28*0.1188-L28,0))</f>
        <v/>
      </c>
      <c r="I28" s="17">
        <f>IF(OR(G28="",G28=0),"",ROUND(H28/G28*100,1))</f>
        <v/>
      </c>
      <c r="J28" s="18">
        <f>IF(G28="","위너가필요",IF(H28&gt;=10,"✅마진OK","❌미달"))</f>
        <v/>
      </c>
      <c r="K28" s="16" t="n">
        <v>169088</v>
      </c>
      <c r="L28" s="19" t="n">
        <v>0</v>
      </c>
      <c r="M28" s="20" t="inlineStr">
        <is>
          <t>오늘의집</t>
        </is>
      </c>
      <c r="N28" s="20" t="inlineStr">
        <is>
          <t>2위:옥션=163,960원</t>
        </is>
      </c>
      <c r="O28" s="11" t="inlineStr">
        <is>
          <t>7</t>
        </is>
      </c>
      <c r="P28" s="21" t="n">
        <v>288</v>
      </c>
      <c r="Q28" s="22" t="inlineStr"/>
      <c r="R28" s="22" t="inlineStr"/>
      <c r="S28" s="19" t="inlineStr"/>
      <c r="T28" s="23" t="inlineStr">
        <is>
          <t>내조사(다나와84)</t>
        </is>
      </c>
      <c r="U28" s="23" t="inlineStr">
        <is>
          <t>신호/리드(미검증): 쿠팡 직접 접근 불가로 2차 자료 기반 추정. (1) 쿠팡 상품 페이지 및 제습기 검색 노출이 확인되어 쿠팡 내 판매 리스팅은 존재하는 것으로 보임(리드). (2) 다만 쿠팡 자체 후기 수/평점을 특정할 근거는 없음 — 확정 리뷰 수 미상. (3) 인기 신호는 주로 자사몰·마켓컬리·올리브영·SSG 등 멀티채널 유통에서 나옴. SSG 기준 평점 4.8~5.0/6건+ 수준의 소량 리뷰만 교차 확인되어, '대형 베스트셀러'라기보다 디자인 중심 1인가구 니치 인기로 판단됨. (4) 장마철 행사·가성비 프로모션 시 구매 급증 언급 있음(자사몰 후기 리드). 종합: 쿠팡 인기도는 '중간 이하~니치'로 추정, 확정 아님.</t>
        </is>
      </c>
      <c r="V28" s="23" t="inlineStr">
        <is>
          <t>성능/사용 불만 신호: (1) 소음 — 사용 1개월 미만에 기계음/모터음 큼, 취침(저소음)모드에서도 소음 상당하다는 부정 리뷰 존재(가장 반복되는 불만). (2) 제습 성능 — 12L 표기지만 실제 일일제습량 7L(30㎡/9평급)로, '12L 대용량'으로 오인 시 기대치 과잉 → 넓은 공간 사용 시 성능 불만·과장광고 클레임 소지(마카롱=디자인/시리즈명이지 용량 아님, '12L'는 제품 라인 표기라 혼동 유발). 반품 리스크 요인. (3) 반품 정책 — 채널별 상이(수령 후 7~15일), 쿠팡 개별 조건 별도 확인 필요. 종합: '조용함·강력' 마케팅 대비 소음·실제 제습량 괴리가 주요 반품/불만 트리거. 모두 2차자료 기반 신호이며 확정 아님.</t>
        </is>
      </c>
    </row>
    <row r="29" ht="28" customHeight="1">
      <c r="A29" s="11" t="inlineStr">
        <is>
          <t>신일</t>
        </is>
      </c>
      <c r="B29" s="11" t="inlineStr">
        <is>
          <t>6L 제습기 / 신일 제습기</t>
        </is>
      </c>
      <c r="C29" s="12" t="inlineStr">
        <is>
          <t>SDH-C06SS</t>
        </is>
      </c>
      <c r="D29" s="13" t="n">
        <v>151050</v>
      </c>
      <c r="E29" s="14" t="inlineStr">
        <is>
          <t>https://search.danawa.com/dsearch.php?query=%EC%8B%A0%EC%9D%BC%20%EC%A0%9C%EC%8A%B5%EA%B8%B0</t>
        </is>
      </c>
      <c r="F29" s="14" t="inlineStr">
        <is>
          <t>https://www.coupang.com/np/search?q=SDH-C06SS</t>
        </is>
      </c>
      <c r="G29" s="15" t="n"/>
      <c r="H29" s="16">
        <f>IF(G29="","",ROUND(G29-D29-G29*0.1188-L29,0))</f>
        <v/>
      </c>
      <c r="I29" s="17">
        <f>IF(OR(G29="",G29=0),"",ROUND(H29/G29*100,1))</f>
        <v/>
      </c>
      <c r="J29" s="18">
        <f>IF(G29="","위너가필요",IF(H29&gt;=10,"✅마진OK","❌미달"))</f>
        <v/>
      </c>
      <c r="K29" s="16" t="n">
        <v>171414</v>
      </c>
      <c r="L29" s="19" t="n">
        <v>0</v>
      </c>
      <c r="M29" s="20" t="inlineStr">
        <is>
          <t>쿠팡</t>
        </is>
      </c>
      <c r="N29" s="20" t="inlineStr">
        <is>
          <t>⚠쿠팡이최저=마진X / 2위:11번가=161,740원 (카드할인 전용가)</t>
        </is>
      </c>
      <c r="O29" s="11" t="inlineStr">
        <is>
          <t>6</t>
        </is>
      </c>
      <c r="P29" s="21" t="n">
        <v>150</v>
      </c>
      <c r="Q29" s="22" t="inlineStr"/>
      <c r="R29" s="22" t="inlineStr"/>
      <c r="S29" s="19" t="inlineStr"/>
      <c r="T29" s="23" t="inlineStr">
        <is>
          <t>내조사(다나와84)</t>
        </is>
      </c>
      <c r="U29" s="23" t="inlineStr"/>
      <c r="V29" s="23" t="inlineStr"/>
    </row>
    <row r="30" ht="28" customHeight="1">
      <c r="A30" s="11" t="inlineStr">
        <is>
          <t>파세코</t>
        </is>
      </c>
      <c r="B30" s="11" t="inlineStr">
        <is>
          <t>7L 제습기 / 파세코 제습기</t>
        </is>
      </c>
      <c r="C30" s="12" t="inlineStr">
        <is>
          <t>PDH-12251W</t>
        </is>
      </c>
      <c r="D30" s="13" t="n">
        <v>154000</v>
      </c>
      <c r="E30" s="14" t="inlineStr">
        <is>
          <t>https://search.danawa.com/dsearch.php?query=%ED%8C%8C%EC%84%B8%EC%BD%94%20%EC%A0%9C%EC%8A%B5%EA%B8%B0</t>
        </is>
      </c>
      <c r="F30" s="14" t="inlineStr">
        <is>
          <t>https://www.coupang.com/np/search?q=PDH-12251W</t>
        </is>
      </c>
      <c r="G30" s="15" t="n"/>
      <c r="H30" s="16">
        <f>IF(G30="","",ROUND(G30-D30-G30*0.1188-L30,0))</f>
        <v/>
      </c>
      <c r="I30" s="17">
        <f>IF(OR(G30="",G30=0),"",ROUND(H30/G30*100,1))</f>
        <v/>
      </c>
      <c r="J30" s="18">
        <f>IF(G30="","위너가필요",IF(H30&gt;=10,"✅마진OK","❌미달"))</f>
        <v/>
      </c>
      <c r="K30" s="16" t="n">
        <v>174762</v>
      </c>
      <c r="L30" s="19" t="n">
        <v>0</v>
      </c>
      <c r="M30" s="20" t="inlineStr">
        <is>
          <t>쿠팡</t>
        </is>
      </c>
      <c r="N30" s="20" t="inlineStr">
        <is>
          <t>⚠쿠팡이최저=마진X / 2위:네이버페이=159,000원 (하이마트·G마켓·옥션·11번가 등 다수 동일</t>
        </is>
      </c>
      <c r="O30" s="11" t="inlineStr">
        <is>
          <t>7</t>
        </is>
      </c>
      <c r="P30" s="21" t="n">
        <v>36</v>
      </c>
      <c r="Q30" s="22" t="inlineStr"/>
      <c r="R30" s="22" t="inlineStr"/>
      <c r="S30" s="19" t="inlineStr"/>
      <c r="T30" s="23" t="inlineStr">
        <is>
          <t>내조사(다나와84)</t>
        </is>
      </c>
      <c r="U30" s="23" t="inlineStr"/>
      <c r="V30" s="23" t="inlineStr"/>
    </row>
    <row r="31" ht="28" customHeight="1">
      <c r="A31" s="11" t="inlineStr">
        <is>
          <t>제니퍼룸</t>
        </is>
      </c>
      <c r="B31" s="11" t="inlineStr">
        <is>
          <t>8L 제습기 / 제니퍼룸 제습기</t>
        </is>
      </c>
      <c r="C31" s="12" t="inlineStr">
        <is>
          <t>JRG-DH0801</t>
        </is>
      </c>
      <c r="D31" s="13" t="n">
        <v>155330</v>
      </c>
      <c r="E31" s="14" t="inlineStr">
        <is>
          <t>https://search.danawa.com/dsearch.php?query=%EC%A0%9C%EB%8B%88%ED%8D%BC%EB%A3%B8%20%EC%A0%9C%EC%8A%B5%EA%B8%B0</t>
        </is>
      </c>
      <c r="F31" s="14" t="inlineStr">
        <is>
          <t>https://www.coupang.com/np/search?q=JRG-DH0801</t>
        </is>
      </c>
      <c r="G31" s="15" t="n"/>
      <c r="H31" s="16">
        <f>IF(G31="","",ROUND(G31-D31-G31*0.1188-L31,0))</f>
        <v/>
      </c>
      <c r="I31" s="17">
        <f>IF(OR(G31="",G31=0),"",ROUND(H31/G31*100,1))</f>
        <v/>
      </c>
      <c r="J31" s="18">
        <f>IF(G31="","위너가필요",IF(H31&gt;=10,"✅마진OK","❌미달"))</f>
        <v/>
      </c>
      <c r="K31" s="16" t="n">
        <v>176271</v>
      </c>
      <c r="L31" s="19" t="n">
        <v>0</v>
      </c>
      <c r="M31" s="20" t="inlineStr">
        <is>
          <t>쿠팡</t>
        </is>
      </c>
      <c r="N31" s="20" t="inlineStr">
        <is>
          <t>⚠쿠팡이최저=마진X / 2위:확인 불가 (데이터 없음)</t>
        </is>
      </c>
      <c r="O31" s="11" t="inlineStr">
        <is>
          <t>8</t>
        </is>
      </c>
      <c r="P31" s="21" t="n">
        <v>3</v>
      </c>
      <c r="Q31" s="22" t="inlineStr"/>
      <c r="R31" s="22" t="inlineStr"/>
      <c r="S31" s="19" t="inlineStr"/>
      <c r="T31" s="23" t="inlineStr">
        <is>
          <t>내조사(다나와84)</t>
        </is>
      </c>
      <c r="U31" s="23" t="inlineStr"/>
      <c r="V31" s="23" t="inlineStr"/>
    </row>
    <row r="32" ht="28" customHeight="1">
      <c r="A32" s="11" t="inlineStr">
        <is>
          <t>NWT</t>
        </is>
      </c>
      <c r="B32" s="11" t="inlineStr">
        <is>
          <t>12L 제습기 / NWT 제습기</t>
        </is>
      </c>
      <c r="C32" s="12" t="inlineStr">
        <is>
          <t>NQ12SACNWA</t>
        </is>
      </c>
      <c r="D32" s="13" t="n">
        <v>157990</v>
      </c>
      <c r="E32" s="14" t="inlineStr">
        <is>
          <t>https://prod.danawa.com/info/?pcode=95420954</t>
        </is>
      </c>
      <c r="F32" s="14" t="inlineStr">
        <is>
          <t>https://www.coupang.com/np/search?q=NQ12SACNWA</t>
        </is>
      </c>
      <c r="G32" s="15" t="n"/>
      <c r="H32" s="16">
        <f>IF(G32="","",ROUND(G32-D32-G32*0.1188-L32,0))</f>
        <v/>
      </c>
      <c r="I32" s="17">
        <f>IF(OR(G32="",G32=0),"",ROUND(H32/G32*100,1))</f>
        <v/>
      </c>
      <c r="J32" s="18">
        <f>IF(G32="","위너가필요",IF(H32&gt;=10,"✅마진OK","❌미달"))</f>
        <v/>
      </c>
      <c r="K32" s="16" t="n">
        <v>179290</v>
      </c>
      <c r="L32" s="19" t="n">
        <v>0</v>
      </c>
      <c r="M32" s="20" t="inlineStr"/>
      <c r="N32" s="20" t="inlineStr"/>
      <c r="O32" s="11" t="n">
        <v>12</v>
      </c>
      <c r="P32" s="21" t="inlineStr"/>
      <c r="Q32" s="22" t="inlineStr"/>
      <c r="R32" s="22" t="inlineStr"/>
      <c r="S32" s="19" t="inlineStr"/>
      <c r="T32" s="23" t="inlineStr">
        <is>
          <t>업로드①마진계산</t>
        </is>
      </c>
      <c r="U32" s="23" t="inlineStr"/>
      <c r="V32" s="23" t="inlineStr">
        <is>
          <t>중소브랜드 저가. 쿠팡 동일모델 상세·판매자수 존재여부가 관건</t>
        </is>
      </c>
    </row>
    <row r="33" ht="28" customHeight="1">
      <c r="A33" s="11" t="inlineStr">
        <is>
          <t>파세코</t>
        </is>
      </c>
      <c r="B33" s="11" t="inlineStr">
        <is>
          <t>7L 제습기 / 파세코 제습기</t>
        </is>
      </c>
      <c r="C33" s="12" t="inlineStr">
        <is>
          <t>PDH-12241W</t>
        </is>
      </c>
      <c r="D33" s="13" t="n">
        <v>159000</v>
      </c>
      <c r="E33" s="14" t="inlineStr">
        <is>
          <t>https://search.danawa.com/dsearch.php?query=%ED%8C%8C%EC%84%B8%EC%BD%94%20%EC%A0%9C%EC%8A%B5%EA%B8%B0</t>
        </is>
      </c>
      <c r="F33" s="14" t="inlineStr">
        <is>
          <t>https://www.coupang.com/np/search?q=PDH-12241W</t>
        </is>
      </c>
      <c r="G33" s="15" t="n"/>
      <c r="H33" s="16">
        <f>IF(G33="","",ROUND(G33-D33-G33*0.1188-L33,0))</f>
        <v/>
      </c>
      <c r="I33" s="17">
        <f>IF(OR(G33="",G33=0),"",ROUND(H33/G33*100,1))</f>
        <v/>
      </c>
      <c r="J33" s="18">
        <f>IF(G33="","위너가필요",IF(H33&gt;=10,"✅마진OK","❌미달"))</f>
        <v/>
      </c>
      <c r="K33" s="16" t="n">
        <v>180436</v>
      </c>
      <c r="L33" s="19" t="n">
        <v>0</v>
      </c>
      <c r="M33" s="20" t="inlineStr">
        <is>
          <t>11번가</t>
        </is>
      </c>
      <c r="N33" s="20" t="inlineStr">
        <is>
          <t>2위:롯데ON=159,000원</t>
        </is>
      </c>
      <c r="O33" s="11" t="inlineStr">
        <is>
          <t>7</t>
        </is>
      </c>
      <c r="P33" s="21" t="n">
        <v>58</v>
      </c>
      <c r="Q33" s="22" t="inlineStr"/>
      <c r="R33" s="22" t="inlineStr"/>
      <c r="S33" s="19" t="inlineStr"/>
      <c r="T33" s="23" t="inlineStr">
        <is>
          <t>내조사(다나와84)</t>
        </is>
      </c>
      <c r="U33" s="23" t="inlineStr"/>
      <c r="V33" s="23" t="inlineStr"/>
    </row>
    <row r="34" ht="28" customHeight="1">
      <c r="A34" s="11" t="inlineStr">
        <is>
          <t>홈플래닛</t>
        </is>
      </c>
      <c r="B34" s="11" t="inlineStr">
        <is>
          <t>10L 제습기 / 홈플래닛 제습기</t>
        </is>
      </c>
      <c r="C34" s="12" t="inlineStr">
        <is>
          <t>PD08A</t>
        </is>
      </c>
      <c r="D34" s="13" t="n">
        <v>169990</v>
      </c>
      <c r="E34" s="14" t="inlineStr">
        <is>
          <t>https://search.danawa.com/dsearch.php?query=%ED%99%88%ED%94%8C%EB%9E%98%EB%8B%9B%20%EC%A0%9C%EC%8A%B5%EA%B8%B0</t>
        </is>
      </c>
      <c r="F34" s="14" t="inlineStr">
        <is>
          <t>https://www.coupang.com/np/search?q=PD08A</t>
        </is>
      </c>
      <c r="G34" s="15" t="n"/>
      <c r="H34" s="16">
        <f>IF(G34="","",ROUND(G34-D34-G34*0.1188-L34,0))</f>
        <v/>
      </c>
      <c r="I34" s="17">
        <f>IF(OR(G34="",G34=0),"",ROUND(H34/G34*100,1))</f>
        <v/>
      </c>
      <c r="J34" s="18">
        <f>IF(G34="","위너가필요",IF(H34&gt;=10,"✅마진OK","❌미달"))</f>
        <v/>
      </c>
      <c r="K34" s="16" t="n">
        <v>192907</v>
      </c>
      <c r="L34" s="19" t="n">
        <v>0</v>
      </c>
      <c r="M34" s="20" t="inlineStr">
        <is>
          <t>쿠팡</t>
        </is>
      </c>
      <c r="N34" s="20" t="inlineStr">
        <is>
          <t>⚠쿠팡이최저=마진X / 2위:11번가=253,690원</t>
        </is>
      </c>
      <c r="O34" s="11" t="inlineStr">
        <is>
          <t>10</t>
        </is>
      </c>
      <c r="P34" s="21" t="n">
        <v>4</v>
      </c>
      <c r="Q34" s="22" t="inlineStr"/>
      <c r="R34" s="22" t="inlineStr"/>
      <c r="S34" s="19" t="inlineStr"/>
      <c r="T34" s="23" t="inlineStr">
        <is>
          <t>내조사(다나와84)</t>
        </is>
      </c>
      <c r="U34" s="23" t="inlineStr"/>
      <c r="V34" s="23" t="inlineStr"/>
    </row>
    <row r="35" ht="28" customHeight="1">
      <c r="A35" s="11" t="inlineStr">
        <is>
          <t>한경희생활과학</t>
        </is>
      </c>
      <c r="B35" s="11" t="inlineStr">
        <is>
          <t>13L 제습기 / 한경희생활과학 제습기</t>
        </is>
      </c>
      <c r="C35" s="12" t="inlineStr">
        <is>
          <t>HEDH-B1890</t>
        </is>
      </c>
      <c r="D35" s="13" t="n">
        <v>183040</v>
      </c>
      <c r="E35" s="14" t="inlineStr">
        <is>
          <t>https://search.danawa.com/dsearch.php?query=%ED%95%9C%EA%B2%BD%ED%9D%AC%20%EC%A0%9C%EC%8A%B5%EA%B8%B0</t>
        </is>
      </c>
      <c r="F35" s="14" t="inlineStr">
        <is>
          <t>https://www.coupang.com/np/search?q=HEDH-B1890</t>
        </is>
      </c>
      <c r="G35" s="15" t="n"/>
      <c r="H35" s="16">
        <f>IF(G35="","",ROUND(G35-D35-G35*0.1188-L35,0))</f>
        <v/>
      </c>
      <c r="I35" s="17">
        <f>IF(OR(G35="",G35=0),"",ROUND(H35/G35*100,1))</f>
        <v/>
      </c>
      <c r="J35" s="18">
        <f>IF(G35="","위너가필요",IF(H35&gt;=10,"✅마진OK","❌미달"))</f>
        <v/>
      </c>
      <c r="K35" s="16" t="n">
        <v>207717</v>
      </c>
      <c r="L35" s="19" t="n">
        <v>0</v>
      </c>
      <c r="M35" s="20" t="inlineStr">
        <is>
          <t>쿠팡</t>
        </is>
      </c>
      <c r="N35" s="20" t="inlineStr">
        <is>
          <t>⚠쿠팡이최저=마진X / 2위:없음 (추가 판매처 미확인)</t>
        </is>
      </c>
      <c r="O35" s="11" t="inlineStr">
        <is>
          <t>13</t>
        </is>
      </c>
      <c r="P35" s="21" t="n">
        <v>9</v>
      </c>
      <c r="Q35" s="22" t="inlineStr"/>
      <c r="R35" s="22" t="inlineStr"/>
      <c r="S35" s="19" t="inlineStr"/>
      <c r="T35" s="23" t="inlineStr">
        <is>
          <t>내조사(다나와84)</t>
        </is>
      </c>
      <c r="U35" s="23" t="inlineStr"/>
      <c r="V35" s="23" t="inlineStr"/>
    </row>
    <row r="36" ht="28" customHeight="1">
      <c r="A36" s="11" t="inlineStr">
        <is>
          <t>캐리어</t>
        </is>
      </c>
      <c r="B36" s="11" t="inlineStr">
        <is>
          <t>16L 제습기 / 캐리어 제습기</t>
        </is>
      </c>
      <c r="C36" s="12" t="inlineStr">
        <is>
          <t>YCDHM-C016LROW</t>
        </is>
      </c>
      <c r="D36" s="13" t="n">
        <v>186460</v>
      </c>
      <c r="E36" s="14" t="inlineStr">
        <is>
          <t>https://search.danawa.com/dsearch.php?query=%EC%BA%90%EB%A6%AC%EC%96%B4%20%EC%A0%9C%EC%8A%B5%EA%B8%B0%2016L</t>
        </is>
      </c>
      <c r="F36" s="14" t="inlineStr">
        <is>
          <t>https://www.coupang.com/np/search?q=YCDHM-C016LROW</t>
        </is>
      </c>
      <c r="G36" s="15" t="n"/>
      <c r="H36" s="16">
        <f>IF(G36="","",ROUND(G36-D36-G36*0.1188-L36,0))</f>
        <v/>
      </c>
      <c r="I36" s="17">
        <f>IF(OR(G36="",G36=0),"",ROUND(H36/G36*100,1))</f>
        <v/>
      </c>
      <c r="J36" s="18">
        <f>IF(G36="","위너가필요",IF(H36&gt;=10,"✅마진OK","❌미달"))</f>
        <v/>
      </c>
      <c r="K36" s="16" t="n">
        <v>211598</v>
      </c>
      <c r="L36" s="19" t="n">
        <v>0</v>
      </c>
      <c r="M36" s="20" t="inlineStr">
        <is>
          <t>11번가</t>
        </is>
      </c>
      <c r="N36" s="20" t="inlineStr">
        <is>
          <t>2위:홈&amp;쇼핑=186,470원</t>
        </is>
      </c>
      <c r="O36" s="11" t="inlineStr">
        <is>
          <t>16</t>
        </is>
      </c>
      <c r="P36" s="21" t="n">
        <v>65</v>
      </c>
      <c r="Q36" s="22" t="inlineStr"/>
      <c r="R36" s="22" t="inlineStr"/>
      <c r="S36" s="19" t="inlineStr"/>
      <c r="T36" s="23" t="inlineStr">
        <is>
          <t>내조사(다나와84)</t>
        </is>
      </c>
      <c r="U36" s="23" t="inlineStr"/>
      <c r="V36" s="23" t="inlineStr"/>
    </row>
    <row r="37" ht="28" customHeight="1">
      <c r="A37" s="11" t="inlineStr">
        <is>
          <t>캐리어</t>
        </is>
      </c>
      <c r="B37" s="11" t="inlineStr">
        <is>
          <t>16L 제습기 / 캐리어 제습기</t>
        </is>
      </c>
      <c r="C37" s="12" t="inlineStr">
        <is>
          <t>YCDHM-C016LRAW</t>
        </is>
      </c>
      <c r="D37" s="13" t="n">
        <v>187480</v>
      </c>
      <c r="E37" s="14" t="inlineStr">
        <is>
          <t>https://search.danawa.com/dsearch.php?query=%EC%BA%90%EB%A6%AC%EC%96%B4%20%EC%A0%9C%EC%8A%B5%EA%B8%B0%2016L</t>
        </is>
      </c>
      <c r="F37" s="14" t="inlineStr">
        <is>
          <t>https://www.coupang.com/np/search?q=YCDHM-C016LRAW</t>
        </is>
      </c>
      <c r="G37" s="15" t="n"/>
      <c r="H37" s="16">
        <f>IF(G37="","",ROUND(G37-D37-G37*0.1188-L37,0))</f>
        <v/>
      </c>
      <c r="I37" s="17">
        <f>IF(OR(G37="",G37=0),"",ROUND(H37/G37*100,1))</f>
        <v/>
      </c>
      <c r="J37" s="18">
        <f>IF(G37="","위너가필요",IF(H37&gt;=10,"✅마진OK","❌미달"))</f>
        <v/>
      </c>
      <c r="K37" s="16" t="n">
        <v>212755</v>
      </c>
      <c r="L37" s="19" t="n">
        <v>0</v>
      </c>
      <c r="M37" s="20" t="inlineStr">
        <is>
          <t>11번가</t>
        </is>
      </c>
      <c r="N37" s="20" t="inlineStr">
        <is>
          <t>2위:롯데ON=191,390원</t>
        </is>
      </c>
      <c r="O37" s="11" t="inlineStr">
        <is>
          <t>16</t>
        </is>
      </c>
      <c r="P37" s="21" t="n">
        <v>104</v>
      </c>
      <c r="Q37" s="22" t="inlineStr"/>
      <c r="R37" s="22" t="inlineStr"/>
      <c r="S37" s="19" t="inlineStr"/>
      <c r="T37" s="23" t="inlineStr">
        <is>
          <t>내조사(다나와84)</t>
        </is>
      </c>
      <c r="U37" s="23" t="inlineStr">
        <is>
          <t>쿠팡 직접 접근 불가. 2차 자료 기준 '신호/리드'만: 다나와 가격비교에 등재되어 있고, 쿠팡 판매가는 27만원대로 언급됨. 오늘의집에서 평균 4.7점/리뷰 39개, 롯데하이마트 3.4점/5건 등 타 채널 리뷰가 존재해 시장 유통·리뷰가 어느 정도 형성된 모델로 추정. 블로그(ggulreview, sunaeda 등)·가격비교 사이트에서 '가성비 베스트픽'으로 반복 추천되는 편. 다만 쿠팡 자체 리뷰 수·평점은 확인 불가 — 확정된 리뷰 수치는 미상.</t>
        </is>
      </c>
      <c r="V37" s="23" t="inlineStr">
        <is>
          <t>중대한 반품/과장광고 신호는 미발견. 다만 주의점: (1) 물통 용량 4L로 작은 편 → 만수 시 잦은 비움 불편 언급, (2) 에너지효율 2등급(제습효율 2.43) — 동급 20L 1등급 대비 전기료 불리, 3~4만원 차이로 상위 스펙 대안 존재, (3) 롯데하이마트 평점 3.4점(5건)은 표본 적으나 상대적으로 낮은 편이라 성능 만족도 편차 가능성. '가성비' 마케팅 강조가 성능 기대치 과대해석으로 이어질 리스크는 있으나 명백한 과장광고 근거는 없음.</t>
        </is>
      </c>
    </row>
    <row r="38" ht="28" customHeight="1">
      <c r="A38" s="11" t="inlineStr">
        <is>
          <t>한경희생활과학</t>
        </is>
      </c>
      <c r="B38" s="11" t="inlineStr">
        <is>
          <t>8L 제습기 / 한경희생활과학 제습기</t>
        </is>
      </c>
      <c r="C38" s="12" t="inlineStr">
        <is>
          <t>HEHD-B0712WT</t>
        </is>
      </c>
      <c r="D38" s="13" t="n">
        <v>189000</v>
      </c>
      <c r="E38" s="14" t="inlineStr">
        <is>
          <t>https://search.danawa.com/dsearch.php?query=%ED%95%9C%EA%B2%BD%ED%9D%AC%20%EC%A0%9C%EC%8A%B5%EA%B8%B0</t>
        </is>
      </c>
      <c r="F38" s="14" t="inlineStr">
        <is>
          <t>https://www.coupang.com/np/search?q=HEHD-B0712WT</t>
        </is>
      </c>
      <c r="G38" s="15" t="n"/>
      <c r="H38" s="16">
        <f>IF(G38="","",ROUND(G38-D38-G38*0.1188-L38,0))</f>
        <v/>
      </c>
      <c r="I38" s="17">
        <f>IF(OR(G38="",G38=0),"",ROUND(H38/G38*100,1))</f>
        <v/>
      </c>
      <c r="J38" s="18">
        <f>IF(G38="","위너가필요",IF(H38&gt;=10,"✅마진OK","❌미달"))</f>
        <v/>
      </c>
      <c r="K38" s="16" t="n">
        <v>214480</v>
      </c>
      <c r="L38" s="19" t="n">
        <v>0</v>
      </c>
      <c r="M38" s="20" t="inlineStr">
        <is>
          <t>11번가</t>
        </is>
      </c>
      <c r="N38" s="20" t="inlineStr">
        <is>
          <t>2위:네이버페이=189,500원</t>
        </is>
      </c>
      <c r="O38" s="11" t="inlineStr">
        <is>
          <t>8</t>
        </is>
      </c>
      <c r="P38" s="21" t="n">
        <v>28</v>
      </c>
      <c r="Q38" s="22" t="inlineStr"/>
      <c r="R38" s="22" t="inlineStr"/>
      <c r="S38" s="19" t="inlineStr"/>
      <c r="T38" s="23" t="inlineStr">
        <is>
          <t>내조사(다나와84)</t>
        </is>
      </c>
      <c r="U38" s="23" t="inlineStr">
        <is>
          <t>쿠팡 인기·리뷰 신호 있음(리드 수준, 미검증). 2차 자료상 쿠팡에서 로켓배송으로 판매되며 리뷰가 200건대 규모라는 언급이 확인됨(정확한 수치는 검증 불가, 신호로만 취급). 한경희 '상쾌HAAN 12L/13L 제습기'로 다나와·11번가·GS SHOP·신세계몰·롯데아이몰·이랜드몰 등 다수 대형몰에 동시 입점된 유통 폭이 넓은 모델이라 쿠팡에서도 노출·판매 활발할 가능성 높음. 종합 별점은 대체로 4.5점대(다나와 4.5/154건, GS SHOP 4.5/7건 등 타몰 기준)로 우호적 신호. 단, 이는 쿠팡 확정 리뷰수가 아니라 2차·타몰 자료 기반 리드임.</t>
        </is>
      </c>
      <c r="V38" s="23" t="inlineStr">
        <is>
          <t>성능 관련: '일일 제습량 8L, 적용면적 약 9평(30.17㎡)'급 소형 스펙인데 제품명은 '12L/13L'로 표기되어 몰마다 용량 표기가 12L·13L·8L로 혼재 → 용량 과장/오인 소지(확인필요). 소음 35dB 표기지만 후기 중 '코웨이 대비 조금 시끄럽다'는 성능불만 신호 존재. 배수호스 길이·본체 견고성에 대한 불만 피드백 언급. 배송 지연 및 배송 상태(파손 등) 관련 부정 후기 존재. 반품은 수령 후 7일 이내, 표시·광고와 다를 경우 3개월 이내 가능. 전반적으로 치명적 리스크보다는 '용량 표기 혼선 + 소음 + 배송품질' 수준의 중간 신호.</t>
        </is>
      </c>
    </row>
    <row r="39" ht="28" customHeight="1">
      <c r="A39" s="11" t="inlineStr">
        <is>
          <t>파세코</t>
        </is>
      </c>
      <c r="B39" s="11" t="inlineStr">
        <is>
          <t>20L 제습기 / 파세코 제습기</t>
        </is>
      </c>
      <c r="C39" s="12" t="inlineStr">
        <is>
          <t>PDH-2025FW</t>
        </is>
      </c>
      <c r="D39" s="13" t="n">
        <v>193030</v>
      </c>
      <c r="E39" s="14" t="inlineStr">
        <is>
          <t>https://search.danawa.com/dsearch.php?query=%ED%8C%8C%EC%84%B8%EC%BD%94%20%EC%A0%9C%EC%8A%B5%EA%B8%B0</t>
        </is>
      </c>
      <c r="F39" s="14" t="inlineStr">
        <is>
          <t>https://www.coupang.com/np/search?q=PDH-2025FW</t>
        </is>
      </c>
      <c r="G39" s="15" t="n"/>
      <c r="H39" s="16">
        <f>IF(G39="","",ROUND(G39-D39-G39*0.1188-L39,0))</f>
        <v/>
      </c>
      <c r="I39" s="17">
        <f>IF(OR(G39="",G39=0),"",ROUND(H39/G39*100,1))</f>
        <v/>
      </c>
      <c r="J39" s="18">
        <f>IF(G39="","위너가필요",IF(H39&gt;=10,"✅마진OK","❌미달"))</f>
        <v/>
      </c>
      <c r="K39" s="16" t="n">
        <v>219054</v>
      </c>
      <c r="L39" s="19" t="n">
        <v>0</v>
      </c>
      <c r="M39" s="20" t="inlineStr">
        <is>
          <t>쿠팡</t>
        </is>
      </c>
      <c r="N39" s="20" t="inlineStr">
        <is>
          <t>⚠쿠팡이최저=마진X / 2위:네이버페이=199,000원 (11번가·G마켓·하이마트 등과 동일)</t>
        </is>
      </c>
      <c r="O39" s="11" t="inlineStr">
        <is>
          <t>20</t>
        </is>
      </c>
      <c r="P39" s="21" t="n">
        <v>67</v>
      </c>
      <c r="Q39" s="22" t="inlineStr"/>
      <c r="R39" s="22" t="inlineStr"/>
      <c r="S39" s="19" t="inlineStr"/>
      <c r="T39" s="23" t="inlineStr">
        <is>
          <t>내조사(다나와84)</t>
        </is>
      </c>
      <c r="U39" s="23" t="inlineStr"/>
      <c r="V39" s="23" t="inlineStr"/>
    </row>
    <row r="40" ht="28" customHeight="1">
      <c r="A40" s="11" t="inlineStr">
        <is>
          <t>파세코</t>
        </is>
      </c>
      <c r="B40" s="11" t="inlineStr">
        <is>
          <t>16L 제습기 / 파세코 제습기</t>
        </is>
      </c>
      <c r="C40" s="12" t="inlineStr">
        <is>
          <t>PDH-16251W</t>
        </is>
      </c>
      <c r="D40" s="13" t="n">
        <v>194660</v>
      </c>
      <c r="E40" s="14" t="inlineStr">
        <is>
          <t>https://search.danawa.com/dsearch.php?query=%ED%8C%8C%EC%84%B8%EC%BD%94%20%EC%A0%9C%EC%8A%B5%EA%B8%B0</t>
        </is>
      </c>
      <c r="F40" s="14" t="inlineStr">
        <is>
          <t>https://www.coupang.com/np/search?q=PDH-16251W</t>
        </is>
      </c>
      <c r="G40" s="15" t="n"/>
      <c r="H40" s="16">
        <f>IF(G40="","",ROUND(G40-D40-G40*0.1188-L40,0))</f>
        <v/>
      </c>
      <c r="I40" s="17">
        <f>IF(OR(G40="",G40=0),"",ROUND(H40/G40*100,1))</f>
        <v/>
      </c>
      <c r="J40" s="18">
        <f>IF(G40="","위너가필요",IF(H40&gt;=10,"✅마진OK","❌미달"))</f>
        <v/>
      </c>
      <c r="K40" s="16" t="n">
        <v>220903</v>
      </c>
      <c r="L40" s="19" t="n">
        <v>0</v>
      </c>
      <c r="M40" s="20" t="inlineStr">
        <is>
          <t>옥션</t>
        </is>
      </c>
      <c r="N40" s="20" t="inlineStr">
        <is>
          <t>2위:G마켓=194,660원</t>
        </is>
      </c>
      <c r="O40" s="11" t="inlineStr">
        <is>
          <t>16</t>
        </is>
      </c>
      <c r="P40" s="21" t="n">
        <v>50</v>
      </c>
      <c r="Q40" s="22" t="inlineStr"/>
      <c r="R40" s="22" t="inlineStr"/>
      <c r="S40" s="19" t="inlineStr"/>
      <c r="T40" s="23" t="inlineStr">
        <is>
          <t>내조사(다나와84)</t>
        </is>
      </c>
      <c r="U40" s="23" t="inlineStr"/>
      <c r="V40" s="23" t="inlineStr"/>
    </row>
    <row r="41" ht="28" customHeight="1">
      <c r="A41" s="11" t="inlineStr">
        <is>
          <t>한경희이지라이프</t>
        </is>
      </c>
      <c r="B41" s="11" t="inlineStr">
        <is>
          <t>12L 제습기 / 한경희이지라이프 제습기</t>
        </is>
      </c>
      <c r="C41" s="12" t="inlineStr">
        <is>
          <t>HE-D720</t>
        </is>
      </c>
      <c r="D41" s="13" t="n">
        <v>198550</v>
      </c>
      <c r="E41" s="14" t="inlineStr">
        <is>
          <t>https://search.danawa.com/dsearch.php?query=%ED%95%9C%EA%B2%BD%ED%9D%AC%20%EC%A0%9C%EC%8A%B5%EA%B8%B0</t>
        </is>
      </c>
      <c r="F41" s="14" t="inlineStr">
        <is>
          <t>https://www.coupang.com/np/search?q=HE-D720</t>
        </is>
      </c>
      <c r="G41" s="15" t="n"/>
      <c r="H41" s="16">
        <f>IF(G41="","",ROUND(G41-D41-G41*0.1188-L41,0))</f>
        <v/>
      </c>
      <c r="I41" s="17">
        <f>IF(OR(G41="",G41=0),"",ROUND(H41/G41*100,1))</f>
        <v/>
      </c>
      <c r="J41" s="18">
        <f>IF(G41="","위너가필요",IF(H41&gt;=10,"✅마진OK","❌미달"))</f>
        <v/>
      </c>
      <c r="K41" s="16" t="n">
        <v>225318</v>
      </c>
      <c r="L41" s="19" t="n">
        <v>0</v>
      </c>
      <c r="M41" s="20" t="inlineStr">
        <is>
          <t>쿠팡</t>
        </is>
      </c>
      <c r="N41" s="20" t="inlineStr">
        <is>
          <t>⚠쿠팡이최저=마진X / 2위:네이버페이=224,500원</t>
        </is>
      </c>
      <c r="O41" s="11" t="inlineStr">
        <is>
          <t>12</t>
        </is>
      </c>
      <c r="P41" s="21" t="n">
        <v>21</v>
      </c>
      <c r="Q41" s="22" t="inlineStr"/>
      <c r="R41" s="22" t="inlineStr"/>
      <c r="S41" s="19" t="inlineStr"/>
      <c r="T41" s="23" t="inlineStr">
        <is>
          <t>내조사(다나와84)</t>
        </is>
      </c>
      <c r="U41" s="23" t="inlineStr"/>
      <c r="V41" s="23" t="inlineStr"/>
    </row>
    <row r="42" ht="28" customHeight="1">
      <c r="A42" s="11" t="inlineStr">
        <is>
          <t>캐리어</t>
        </is>
      </c>
      <c r="B42" s="11" t="inlineStr">
        <is>
          <t>16L 제습기 / 캐리어 제습기</t>
        </is>
      </c>
      <c r="C42" s="12" t="inlineStr">
        <is>
          <t>CDHC-160AAMWOYH</t>
        </is>
      </c>
      <c r="D42" s="13" t="n">
        <v>201300</v>
      </c>
      <c r="E42" s="14" t="inlineStr">
        <is>
          <t>https://search.danawa.com/dsearch.php?query=%EC%BA%90%EB%A6%AC%EC%96%B4%20%EC%A0%9C%EC%8A%B5%EA%B8%B0%2016L</t>
        </is>
      </c>
      <c r="F42" s="14" t="inlineStr">
        <is>
          <t>https://www.coupang.com/np/search?q=CDHC-160AAMWOYH</t>
        </is>
      </c>
      <c r="G42" s="15" t="n"/>
      <c r="H42" s="16">
        <f>IF(G42="","",ROUND(G42-D42-G42*0.1188-L42,0))</f>
        <v/>
      </c>
      <c r="I42" s="17">
        <f>IF(OR(G42="",G42=0),"",ROUND(H42/G42*100,1))</f>
        <v/>
      </c>
      <c r="J42" s="18">
        <f>IF(G42="","위너가필요",IF(H42&gt;=10,"✅마진OK","❌미달"))</f>
        <v/>
      </c>
      <c r="K42" s="16" t="n">
        <v>228438</v>
      </c>
      <c r="L42" s="19" t="n">
        <v>0</v>
      </c>
      <c r="M42" s="20" t="inlineStr">
        <is>
          <t>옥션</t>
        </is>
      </c>
      <c r="N42" s="20" t="inlineStr">
        <is>
          <t>2위:G마켓=203,980원</t>
        </is>
      </c>
      <c r="O42" s="11" t="inlineStr">
        <is>
          <t>16</t>
        </is>
      </c>
      <c r="P42" s="21" t="n">
        <v>44</v>
      </c>
      <c r="Q42" s="22" t="inlineStr"/>
      <c r="R42" s="22" t="inlineStr"/>
      <c r="S42" s="19" t="inlineStr"/>
      <c r="T42" s="23" t="inlineStr">
        <is>
          <t>내조사(다나와84)</t>
        </is>
      </c>
      <c r="U42" s="23" t="inlineStr"/>
      <c r="V42" s="23" t="inlineStr"/>
    </row>
    <row r="43" ht="28" customHeight="1">
      <c r="A43" s="11" t="inlineStr">
        <is>
          <t>신일</t>
        </is>
      </c>
      <c r="B43" s="11" t="inlineStr">
        <is>
          <t>17L 제습기 / 신일 제습기</t>
        </is>
      </c>
      <c r="C43" s="12" t="inlineStr">
        <is>
          <t>SDH-PM230</t>
        </is>
      </c>
      <c r="D43" s="13" t="n">
        <v>215280</v>
      </c>
      <c r="E43" s="14" t="inlineStr">
        <is>
          <t>https://search.danawa.com/dsearch.php?query=%EC%8B%A0%EC%9D%BC%20%EC%A0%9C%EC%8A%B5%EA%B8%B0</t>
        </is>
      </c>
      <c r="F43" s="14" t="inlineStr">
        <is>
          <t>https://www.coupang.com/np/search?q=SDH-PM230</t>
        </is>
      </c>
      <c r="G43" s="15" t="n"/>
      <c r="H43" s="16">
        <f>IF(G43="","",ROUND(G43-D43-G43*0.1188-L43,0))</f>
        <v/>
      </c>
      <c r="I43" s="17">
        <f>IF(OR(G43="",G43=0),"",ROUND(H43/G43*100,1))</f>
        <v/>
      </c>
      <c r="J43" s="18">
        <f>IF(G43="","위너가필요",IF(H43&gt;=10,"✅마진OK","❌미달"))</f>
        <v/>
      </c>
      <c r="K43" s="16" t="n">
        <v>244303</v>
      </c>
      <c r="L43" s="19" t="n">
        <v>0</v>
      </c>
      <c r="M43" s="20" t="inlineStr">
        <is>
          <t>옥션</t>
        </is>
      </c>
      <c r="N43" s="20" t="inlineStr">
        <is>
          <t>2위:쿠팡=216,000원</t>
        </is>
      </c>
      <c r="O43" s="11" t="inlineStr">
        <is>
          <t>17</t>
        </is>
      </c>
      <c r="P43" s="21" t="n">
        <v>91</v>
      </c>
      <c r="Q43" s="22" t="inlineStr"/>
      <c r="R43" s="22" t="inlineStr"/>
      <c r="S43" s="19" t="inlineStr"/>
      <c r="T43" s="23" t="inlineStr">
        <is>
          <t>내조사(다나와84)</t>
        </is>
      </c>
      <c r="U43" s="23" t="inlineStr"/>
      <c r="V43" s="23" t="inlineStr"/>
    </row>
    <row r="44" ht="28" customHeight="1">
      <c r="A44" s="11" t="inlineStr">
        <is>
          <t>위니아</t>
        </is>
      </c>
      <c r="B44" s="11" t="inlineStr">
        <is>
          <t>17L 제습기 / 위니아 제습기</t>
        </is>
      </c>
      <c r="C44" s="12" t="inlineStr">
        <is>
          <t>DCE118SWJ(A)</t>
        </is>
      </c>
      <c r="D44" s="13" t="n">
        <v>223100</v>
      </c>
      <c r="E44" s="14" t="inlineStr">
        <is>
          <t>https://search.danawa.com/dsearch.php?query=%EC%9C%84%EB%8B%88%EC%95%84%20%EC%A0%9C%EC%8A%B5%EA%B8%B0</t>
        </is>
      </c>
      <c r="F44" s="14" t="inlineStr">
        <is>
          <t>https://www.coupang.com/np/search?q=DCE118SWJ(A)</t>
        </is>
      </c>
      <c r="G44" s="15" t="n"/>
      <c r="H44" s="16">
        <f>IF(G44="","",ROUND(G44-D44-G44*0.1188-L44,0))</f>
        <v/>
      </c>
      <c r="I44" s="17">
        <f>IF(OR(G44="",G44=0),"",ROUND(H44/G44*100,1))</f>
        <v/>
      </c>
      <c r="J44" s="18">
        <f>IF(G44="","위너가필요",IF(H44&gt;=10,"✅마진OK","❌미달"))</f>
        <v/>
      </c>
      <c r="K44" s="16" t="n">
        <v>253177</v>
      </c>
      <c r="L44" s="19" t="n">
        <v>0</v>
      </c>
      <c r="M44" s="20" t="inlineStr">
        <is>
          <t>11번가</t>
        </is>
      </c>
      <c r="N44" s="20" t="inlineStr">
        <is>
          <t>2위:롯데ON=223,110원</t>
        </is>
      </c>
      <c r="O44" s="11" t="inlineStr">
        <is>
          <t>17</t>
        </is>
      </c>
      <c r="P44" s="21" t="n">
        <v>21</v>
      </c>
      <c r="Q44" s="22" t="inlineStr"/>
      <c r="R44" s="22" t="inlineStr"/>
      <c r="S44" s="19" t="inlineStr"/>
      <c r="T44" s="23" t="inlineStr">
        <is>
          <t>내조사(다나와84)</t>
        </is>
      </c>
      <c r="U44" s="23" t="inlineStr">
        <is>
          <t>쿠팡 직접 접근 불가로 확정 리뷰 수 미확인. [신호/리드] 2차 자료 기준으로 인기·판매 신호가 뚜렷함: 블로그/추천글에서 "로켓배송+연속배수+안심필터" 조합을 장마철 필수템으로 반복 언급하며 쿠팡 구매 경로를 안내. 당근 동네생활에는 "쿠팡 검색하다가" 제습기를 고민하는 소비자 글도 존재해 쿠팡 노출/검색 유입이 활발함을 시사. 다나와 통합 리뷰 기준 별점 4.8·리뷰 약 276개(쿠팡 단독 수치 아님, 전 채널 합산 추정치이므로 쿠팡 리뷰 수로 인용 금지). 11번가 등 타 오픈마켓에도 동일 모델이 병행 판매됨.</t>
        </is>
      </c>
      <c r="V44" s="23" t="inlineStr">
        <is>
          <t>[신호/리드] 성능불만 자체는 낮은 편이나 주의 신호 존재. (1) 물통 용량 4.0L로 작아 자주 비워야 함 — 연속배수 미사용 시 불편, 반품/불만 소지. (2) 강(强) 모드에서 모터 소음이 다소 큼 — 침실/야간 사용자 불만 가능. (3) 마케팅에서 "안심필터=공기청정" 표현을 강조 — 정식 공기청정 성능이 아닌 먼지필터 수준일 수 있어 과장광고 오해 소지(확인필요). 명시적 대량 반품/허위광고 신고 사례는 2차 자료에서 확인되지 않음.</t>
        </is>
      </c>
    </row>
    <row r="45" ht="28" customHeight="1">
      <c r="A45" s="11" t="inlineStr">
        <is>
          <t>위닉스</t>
        </is>
      </c>
      <c r="B45" s="11" t="inlineStr">
        <is>
          <t>12L 제습기 / 위닉스 제습기</t>
        </is>
      </c>
      <c r="C45" s="12" t="inlineStr">
        <is>
          <t>DXAE120-NEK</t>
        </is>
      </c>
      <c r="D45" s="13" t="n">
        <v>227250</v>
      </c>
      <c r="E45" s="14" t="inlineStr">
        <is>
          <t>https://prod.danawa.com/info/?pcode=40018130</t>
        </is>
      </c>
      <c r="F45" s="14" t="inlineStr">
        <is>
          <t>https://www.coupang.com/np/search?q=DXAE120-NEK</t>
        </is>
      </c>
      <c r="G45" s="15" t="n"/>
      <c r="H45" s="16">
        <f>IF(G45="","",ROUND(G45-D45-G45*0.1188-L45,0))</f>
        <v/>
      </c>
      <c r="I45" s="17">
        <f>IF(OR(G45="",G45=0),"",ROUND(H45/G45*100,1))</f>
        <v/>
      </c>
      <c r="J45" s="18">
        <f>IF(G45="","위너가필요",IF(H45&gt;=10,"✅마진OK","❌미달"))</f>
        <v/>
      </c>
      <c r="K45" s="16" t="n">
        <v>257887</v>
      </c>
      <c r="L45" s="19" t="n">
        <v>0</v>
      </c>
      <c r="M45" s="20" t="inlineStr"/>
      <c r="N45" s="20" t="inlineStr"/>
      <c r="O45" s="11" t="n">
        <v>12</v>
      </c>
      <c r="P45" s="21" t="inlineStr"/>
      <c r="Q45" s="22" t="inlineStr"/>
      <c r="R45" s="22" t="inlineStr"/>
      <c r="S45" s="19" t="inlineStr"/>
      <c r="T45" s="23" t="inlineStr">
        <is>
          <t>업로드①마진계산 + 업로드워치리스트</t>
        </is>
      </c>
      <c r="U45" s="23" t="inlineStr"/>
      <c r="V45" s="23" t="inlineStr">
        <is>
          <t>3등급이나 리뷰270 스테디셀러. 저가12L 회전빠름</t>
        </is>
      </c>
    </row>
    <row r="46" ht="28" customHeight="1">
      <c r="A46" s="11" t="inlineStr">
        <is>
          <t>보아르</t>
        </is>
      </c>
      <c r="B46" s="11" t="inlineStr">
        <is>
          <t>14L 제습기 / 보아르 제습기</t>
        </is>
      </c>
      <c r="C46" s="12" t="inlineStr">
        <is>
          <t>VO-DH005</t>
        </is>
      </c>
      <c r="D46" s="13" t="n">
        <v>228000</v>
      </c>
      <c r="E46" s="14" t="inlineStr">
        <is>
          <t>https://search.danawa.com/dsearch.php?query=%EB%B3%B4%EC%95%84%EB%A5%B4%20%EC%A0%9C%EC%8A%B5%EA%B8%B0</t>
        </is>
      </c>
      <c r="F46" s="14" t="inlineStr">
        <is>
          <t>https://www.coupang.com/np/search?q=VO-DH005</t>
        </is>
      </c>
      <c r="G46" s="15" t="n"/>
      <c r="H46" s="16">
        <f>IF(G46="","",ROUND(G46-D46-G46*0.1188-L46,0))</f>
        <v/>
      </c>
      <c r="I46" s="17">
        <f>IF(OR(G46="",G46=0),"",ROUND(H46/G46*100,1))</f>
        <v/>
      </c>
      <c r="J46" s="18">
        <f>IF(G46="","위너가필요",IF(H46&gt;=10,"✅마진OK","❌미달"))</f>
        <v/>
      </c>
      <c r="K46" s="16" t="n">
        <v>258738</v>
      </c>
      <c r="L46" s="19" t="n">
        <v>0</v>
      </c>
      <c r="M46" s="20" t="inlineStr">
        <is>
          <t>쿠팡</t>
        </is>
      </c>
      <c r="N46" s="20" t="inlineStr">
        <is>
          <t>⚠쿠팡이최저=마진X / 2위:SK스토아=245,000원</t>
        </is>
      </c>
      <c r="O46" s="11" t="inlineStr">
        <is>
          <t>14</t>
        </is>
      </c>
      <c r="P46" s="21" t="n">
        <v>24</v>
      </c>
      <c r="Q46" s="22" t="inlineStr"/>
      <c r="R46" s="22" t="inlineStr"/>
      <c r="S46" s="19" t="inlineStr"/>
      <c r="T46" s="23" t="inlineStr">
        <is>
          <t>내조사(다나와84)</t>
        </is>
      </c>
      <c r="U46" s="23" t="inlineStr"/>
      <c r="V46" s="23" t="inlineStr"/>
    </row>
    <row r="47" ht="28" customHeight="1">
      <c r="A47" s="11" t="inlineStr">
        <is>
          <t>위닉스</t>
        </is>
      </c>
      <c r="B47" s="11" t="inlineStr">
        <is>
          <t>10L 제습기 / 위닉스 제습기</t>
        </is>
      </c>
      <c r="C47" s="12" t="inlineStr">
        <is>
          <t>DXTM100-KWK</t>
        </is>
      </c>
      <c r="D47" s="13" t="n">
        <v>228080</v>
      </c>
      <c r="E47" s="14" t="inlineStr">
        <is>
          <t>https://search.danawa.com/dsearch.php?query=%EC%9C%84%EB%8B%89%EC%8A%A4%20%EC%A0%9C%EC%8A%B5%EA%B8%B0%2010L</t>
        </is>
      </c>
      <c r="F47" s="14" t="inlineStr">
        <is>
          <t>https://www.coupang.com/np/search?q=DXTM100-KWK</t>
        </is>
      </c>
      <c r="G47" s="15" t="n"/>
      <c r="H47" s="16">
        <f>IF(G47="","",ROUND(G47-D47-G47*0.1188-L47,0))</f>
        <v/>
      </c>
      <c r="I47" s="17">
        <f>IF(OR(G47="",G47=0),"",ROUND(H47/G47*100,1))</f>
        <v/>
      </c>
      <c r="J47" s="18">
        <f>IF(G47="","위너가필요",IF(H47&gt;=10,"✅마진OK","❌미달"))</f>
        <v/>
      </c>
      <c r="K47" s="16" t="n">
        <v>258829</v>
      </c>
      <c r="L47" s="19" t="n">
        <v>0</v>
      </c>
      <c r="M47" s="20" t="inlineStr">
        <is>
          <t>옥션</t>
        </is>
      </c>
      <c r="N47" s="20" t="inlineStr">
        <is>
          <t>2위:G마켓=231,570원</t>
        </is>
      </c>
      <c r="O47" s="11" t="inlineStr">
        <is>
          <t>10</t>
        </is>
      </c>
      <c r="P47" s="21" t="n">
        <v>32</v>
      </c>
      <c r="Q47" s="22" t="inlineStr"/>
      <c r="R47" s="22" t="inlineStr"/>
      <c r="S47" s="19" t="inlineStr"/>
      <c r="T47" s="23" t="inlineStr">
        <is>
          <t>내조사(다나와84)</t>
        </is>
      </c>
      <c r="U47" s="23" t="inlineStr"/>
      <c r="V47" s="23" t="inlineStr"/>
    </row>
    <row r="48" ht="28" customHeight="1">
      <c r="A48" s="11" t="inlineStr">
        <is>
          <t>위닉스</t>
        </is>
      </c>
      <c r="B48" s="11" t="inlineStr">
        <is>
          <t>16L 제습기 / 위닉스 제습기</t>
        </is>
      </c>
      <c r="C48" s="12" t="inlineStr">
        <is>
          <t>DCVE160-PEK</t>
        </is>
      </c>
      <c r="D48" s="13" t="n">
        <v>233700</v>
      </c>
      <c r="E48" s="14" t="inlineStr">
        <is>
          <t>https://search.danawa.com/dsearch.php?query=%EC%9C%84%EB%8B%89%EC%8A%A4%20%EB%BD%80%EC%86%A1%2016L%20%EC%A0%9C%EC%8A%B5%EA%B8%B0</t>
        </is>
      </c>
      <c r="F48" s="14" t="inlineStr">
        <is>
          <t>https://www.coupang.com/np/search?q=DCVE160-PEK</t>
        </is>
      </c>
      <c r="G48" s="15" t="n"/>
      <c r="H48" s="16">
        <f>IF(G48="","",ROUND(G48-D48-G48*0.1188-L48,0))</f>
        <v/>
      </c>
      <c r="I48" s="17">
        <f>IF(OR(G48="",G48=0),"",ROUND(H48/G48*100,1))</f>
        <v/>
      </c>
      <c r="J48" s="18">
        <f>IF(G48="","위너가필요",IF(H48&gt;=10,"✅마진OK","❌미달"))</f>
        <v/>
      </c>
      <c r="K48" s="16" t="n">
        <v>265207</v>
      </c>
      <c r="L48" s="19" t="n">
        <v>0</v>
      </c>
      <c r="M48" s="20" t="inlineStr">
        <is>
          <t>G마켓</t>
        </is>
      </c>
      <c r="N48" s="20" t="inlineStr">
        <is>
          <t>2위:옥션=245,990원</t>
        </is>
      </c>
      <c r="O48" s="11" t="inlineStr">
        <is>
          <t>16</t>
        </is>
      </c>
      <c r="P48" s="21" t="n">
        <v>172</v>
      </c>
      <c r="Q48" s="22" t="inlineStr"/>
      <c r="R48" s="22" t="inlineStr"/>
      <c r="S48" s="19" t="inlineStr"/>
      <c r="T48" s="23" t="inlineStr">
        <is>
          <t>내조사(다나와84) + 업로드①마진계산 + 업로드워치리스트</t>
        </is>
      </c>
      <c r="U48" s="23" t="inlineStr"/>
      <c r="V48" s="23" t="inlineStr">
        <is>
          <t>신형16L·리뷰多. 다나와최저 무료배송 확인. 브랜드라 마진 얇음—쿠팡위너價 확인필수</t>
        </is>
      </c>
    </row>
    <row r="49" ht="28" customHeight="1">
      <c r="A49" s="11" t="inlineStr">
        <is>
          <t>캐리어</t>
        </is>
      </c>
      <c r="B49" s="11" t="inlineStr">
        <is>
          <t>16L 제습기 / 캐리어 제습기</t>
        </is>
      </c>
      <c r="C49" s="12" t="inlineStr">
        <is>
          <t>CDHC-160AYLWWYH</t>
        </is>
      </c>
      <c r="D49" s="13" t="n">
        <v>234983</v>
      </c>
      <c r="E49" s="14" t="inlineStr">
        <is>
          <t>https://search.danawa.com/dsearch.php?query=%EC%BA%90%EB%A6%AC%EC%96%B4%20%EC%A0%9C%EC%8A%B5%EA%B8%B0%2016L</t>
        </is>
      </c>
      <c r="F49" s="14" t="inlineStr">
        <is>
          <t>https://www.coupang.com/np/search?q=CDHC-160AYLWWYH</t>
        </is>
      </c>
      <c r="G49" s="15" t="n"/>
      <c r="H49" s="16">
        <f>IF(G49="","",ROUND(G49-D49-G49*0.1188-L49,0))</f>
        <v/>
      </c>
      <c r="I49" s="17">
        <f>IF(OR(G49="",G49=0),"",ROUND(H49/G49*100,1))</f>
        <v/>
      </c>
      <c r="J49" s="18">
        <f>IF(G49="","위너가필요",IF(H49&gt;=10,"✅마진OK","❌미달"))</f>
        <v/>
      </c>
      <c r="K49" s="16" t="n">
        <v>266663</v>
      </c>
      <c r="L49" s="19" t="n">
        <v>0</v>
      </c>
      <c r="M49" s="20" t="inlineStr">
        <is>
          <t>SSG.COM</t>
        </is>
      </c>
      <c r="N49" s="20" t="inlineStr">
        <is>
          <t>2위:현대Hmall=237,310원 (단, 현대카드 7% 조건 표기 있음)</t>
        </is>
      </c>
      <c r="O49" s="11" t="inlineStr">
        <is>
          <t>16</t>
        </is>
      </c>
      <c r="P49" s="21" t="n">
        <v>86</v>
      </c>
      <c r="Q49" s="22" t="inlineStr"/>
      <c r="R49" s="22" t="inlineStr"/>
      <c r="S49" s="19" t="inlineStr"/>
      <c r="T49" s="23" t="inlineStr">
        <is>
          <t>내조사(다나와84)</t>
        </is>
      </c>
      <c r="U49" s="23" t="inlineStr">
        <is>
          <t>[신호/리드 — 확정 아님] 2차 자료(다나와/한샘몰/전자랜드/롯데하이마트/SSG 등)에서 CDHC-160AYLWWYH는 주로 '스펙·판매 페이지' 위주로만 노출되고, 쿠팡 실제 후기 본문이나 리뷰 수를 확인할 수 있는 블로그/유튜브 콘텐츠는 이번 검색에서 잡히지 않음. 즉 이 모델 자체는 쿠팡에서 '리뷰 폭발형 인기 모델'이라는 강한 신호는 없음. 쿠팡 검색 결과 페이지가 '캐리어 제습기' 카테고리로만 인덱싱될 뿐 개별 리뷰 신호 부족. 참고로 이마트몰(SSG)에서는 별점 4.5점/리뷰 2건 수준으로 표본이 매우 적음 → 신제품이거나 유통 초기일 가능성. 다만 형제격인 캐리어 클라윈드 16L(YCDHM-C016 계열)은 신세계몰 기준 평점 4.8/리뷰 40건으로 상대적으로 리뷰가 쌓여 있어, '캐리어 16L 제습기' 라인 전반은 온라인에서 수요가 있는 편으로 보임(모델 혼동 주의).</t>
        </is>
      </c>
      <c r="V49" s="23" t="inlineStr">
        <is>
          <t>[신호/추정] 1) 명시적 반품·과장광고·성능불만 후기는 이번 2차 자료에서 발견되지 않음(부정 신호 없음 = 안전 확정 아님, 데이터 부족). 2) 리뷰 표본이 2건 수준으로 매우 적어 '검증되지 않은 제품' 리스크 존재 — 실사용 평가 근거 빈약. 3) 모델명 혼동 리스크 큼: CDHC-160AYLWWYH vs 클라윈드 YCDHM-C016 계열 vs CDH-1605DG 등이 온라인에 혼재 → 소싱 시 정확한 모델코드 대조 필요. 4) 250W/16L 사양 대비 20평 대응 표기는 제조사 스펙 기준이라 실사용 체감 제습력 과장 여지 통상적 주의 필요(일반적 제습기 카테고리 리스크).</t>
        </is>
      </c>
    </row>
    <row r="50" ht="28" customHeight="1">
      <c r="A50" s="11" t="inlineStr">
        <is>
          <t>캐리어</t>
        </is>
      </c>
      <c r="B50" s="11" t="inlineStr">
        <is>
          <t>20L 제습기 / 캐리어 제습기</t>
        </is>
      </c>
      <c r="C50" s="12" t="inlineStr">
        <is>
          <t>CDHC-200AXMWOYH</t>
        </is>
      </c>
      <c r="D50" s="13" t="n">
        <v>237370</v>
      </c>
      <c r="E50" s="14" t="inlineStr">
        <is>
          <t>https://search.danawa.com/dsearch.php?query=%EC%BA%90%EB%A6%AC%EC%96%B4%20%EC%A0%9C%EC%8A%B5%EA%B8%B0%2020L</t>
        </is>
      </c>
      <c r="F50" s="14" t="inlineStr">
        <is>
          <t>https://www.coupang.com/np/search?q=CDHC-200AXMWOYH</t>
        </is>
      </c>
      <c r="G50" s="15" t="n"/>
      <c r="H50" s="16">
        <f>IF(G50="","",ROUND(G50-D50-G50*0.1188-L50,0))</f>
        <v/>
      </c>
      <c r="I50" s="17">
        <f>IF(OR(G50="",G50=0),"",ROUND(H50/G50*100,1))</f>
        <v/>
      </c>
      <c r="J50" s="18">
        <f>IF(G50="","위너가필요",IF(H50&gt;=10,"✅마진OK","❌미달"))</f>
        <v/>
      </c>
      <c r="K50" s="16" t="n">
        <v>269371</v>
      </c>
      <c r="L50" s="19" t="n">
        <v>0</v>
      </c>
      <c r="M50" s="20" t="inlineStr">
        <is>
          <t>롯데ON</t>
        </is>
      </c>
      <c r="N50" s="20" t="inlineStr">
        <is>
          <t>2위:옥션=246,400원</t>
        </is>
      </c>
      <c r="O50" s="11" t="inlineStr">
        <is>
          <t>20</t>
        </is>
      </c>
      <c r="P50" s="21" t="n">
        <v>63</v>
      </c>
      <c r="Q50" s="22" t="inlineStr"/>
      <c r="R50" s="22" t="inlineStr"/>
      <c r="S50" s="19" t="inlineStr"/>
      <c r="T50" s="23" t="inlineStr">
        <is>
          <t>내조사(다나와84)</t>
        </is>
      </c>
      <c r="U50" s="23" t="inlineStr"/>
      <c r="V50" s="23" t="inlineStr"/>
    </row>
    <row r="51" ht="28" customHeight="1">
      <c r="A51" s="11" t="inlineStr">
        <is>
          <t>신일</t>
        </is>
      </c>
      <c r="B51" s="11" t="inlineStr">
        <is>
          <t>17L 제습기 / 신일 제습기</t>
        </is>
      </c>
      <c r="C51" s="12" t="inlineStr">
        <is>
          <t>SDH-170SS</t>
        </is>
      </c>
      <c r="D51" s="13" t="n">
        <v>238930</v>
      </c>
      <c r="E51" s="14" t="inlineStr">
        <is>
          <t>https://search.danawa.com/dsearch.php?query=%EC%8B%A0%EC%9D%BC%20%EC%A0%9C%EC%8A%B5%EA%B8%B0</t>
        </is>
      </c>
      <c r="F51" s="14" t="inlineStr">
        <is>
          <t>https://www.coupang.com/np/search?q=SDH-170SS</t>
        </is>
      </c>
      <c r="G51" s="15" t="n"/>
      <c r="H51" s="16">
        <f>IF(G51="","",ROUND(G51-D51-G51*0.1188-L51,0))</f>
        <v/>
      </c>
      <c r="I51" s="17">
        <f>IF(OR(G51="",G51=0),"",ROUND(H51/G51*100,1))</f>
        <v/>
      </c>
      <c r="J51" s="18">
        <f>IF(G51="","위너가필요",IF(H51&gt;=10,"✅마진OK","❌미달"))</f>
        <v/>
      </c>
      <c r="K51" s="16" t="n">
        <v>271142</v>
      </c>
      <c r="L51" s="19" t="n">
        <v>0</v>
      </c>
      <c r="M51" s="20" t="inlineStr">
        <is>
          <t>쿠팡</t>
        </is>
      </c>
      <c r="N51" s="20" t="inlineStr">
        <is>
          <t>⚠쿠팡이최저=마진X / 2위:롯데ON=297,000원</t>
        </is>
      </c>
      <c r="O51" s="11" t="inlineStr">
        <is>
          <t>17</t>
        </is>
      </c>
      <c r="P51" s="21" t="n">
        <v>188</v>
      </c>
      <c r="Q51" s="22" t="inlineStr"/>
      <c r="R51" s="22" t="inlineStr"/>
      <c r="S51" s="19" t="inlineStr"/>
      <c r="T51" s="23" t="inlineStr">
        <is>
          <t>내조사(다나와84)</t>
        </is>
      </c>
      <c r="U51" s="23" t="inlineStr"/>
      <c r="V51" s="23" t="inlineStr"/>
    </row>
    <row r="52" ht="28" customHeight="1">
      <c r="A52" s="11" t="inlineStr">
        <is>
          <t>쿠쿠</t>
        </is>
      </c>
      <c r="B52" s="11" t="inlineStr">
        <is>
          <t>16L 제습기 / 쿠쿠 제습기</t>
        </is>
      </c>
      <c r="C52" s="12" t="inlineStr">
        <is>
          <t>DH-Y1652FNW</t>
        </is>
      </c>
      <c r="D52" s="13" t="n">
        <v>240000</v>
      </c>
      <c r="E52" s="14" t="inlineStr">
        <is>
          <t>https://search.danawa.com/dsearch.php?query=%EC%BF%A0%EC%BF%A0%20%EC%A0%9C%EC%8A%B5%EA%B8%B0</t>
        </is>
      </c>
      <c r="F52" s="14" t="inlineStr">
        <is>
          <t>https://www.coupang.com/np/search?q=DH-Y1652FNW</t>
        </is>
      </c>
      <c r="G52" s="15" t="n"/>
      <c r="H52" s="16">
        <f>IF(G52="","",ROUND(G52-D52-G52*0.1188-L52,0))</f>
        <v/>
      </c>
      <c r="I52" s="17">
        <f>IF(OR(G52="",G52=0),"",ROUND(H52/G52*100,1))</f>
        <v/>
      </c>
      <c r="J52" s="18">
        <f>IF(G52="","위너가필요",IF(H52&gt;=10,"✅마진OK","❌미달"))</f>
        <v/>
      </c>
      <c r="K52" s="16" t="n">
        <v>272356</v>
      </c>
      <c r="L52" s="19" t="n">
        <v>0</v>
      </c>
      <c r="M52" s="20" t="inlineStr">
        <is>
          <t>쿠쿠몰</t>
        </is>
      </c>
      <c r="N52" s="20" t="inlineStr">
        <is>
          <t>2위:SSG.COM=245,820원(현대카드 전용가)</t>
        </is>
      </c>
      <c r="O52" s="11" t="inlineStr">
        <is>
          <t>16</t>
        </is>
      </c>
      <c r="P52" s="21" t="n">
        <v>56</v>
      </c>
      <c r="Q52" s="22" t="inlineStr"/>
      <c r="R52" s="22" t="inlineStr"/>
      <c r="S52" s="19" t="inlineStr"/>
      <c r="T52" s="23" t="inlineStr">
        <is>
          <t>내조사(다나와84)</t>
        </is>
      </c>
      <c r="U52" s="23" t="inlineStr">
        <is>
          <t>신호/리드(확정 아님): DH-Y1652FNW 자체의 쿠팡 직접 후기는 2차 자료에서 거의 노출되지 않음. 다만 사실상 동일 사양의 형제 모델인 DH-YNL1652FEB(어스베이지)가 쿠팡에서 별점 약 4.6점·리뷰 약 147개로 언급되어(수치는 미검증 리드), 인스퓨어 16L 초슬림 라인 자체는 쿠팡에서 어느 정도 판매·리뷰가 형성된 인기 라인으로 추정. 다나와 기준 DH-Y1652FNW는 별점 4.5점·리뷰 6개 수준으로 개별 채널 리뷰 볼륨은 아직 얇음. 정리: '라인 인기 있음, 개별 모델번호 리뷰는 소량' 신호.</t>
        </is>
      </c>
      <c r="V52" s="23" t="inlineStr">
        <is>
          <t>주요 위험 신호는 소음: 다수 2차 기사·후기에서 '케이스 흔들림 소음', '밤에 시끄러움', '예상보다 훨씬 시끄러움', '내부 흔들리는 소리' 등 소음·마감 불만이 반복 제기됨(다음 뉴스 등). 가격 저항 요인도 있음 - 공식가 약 49.9만원으로 캐리어(약 27만원대)·위닉스(약 40만원대) 동급 대비 고가라 '가격 대비 소음' 불만이 반품/저평가 리뷰로 이어질 수 있음. 반품은 고객변심 시 수령 7일 이내·배송비 소비자 부담(일반 조건). 과장광고성 명확한 신호는 발견되지 않음(성능·제습력 자체는 대체로 호평). 종합: 성능·디자인 만족 vs 소음·고가 불만의 양극 구조.</t>
        </is>
      </c>
    </row>
    <row r="53" ht="28" customHeight="1">
      <c r="A53" s="11" t="inlineStr">
        <is>
          <t>캐리어</t>
        </is>
      </c>
      <c r="B53" s="11" t="inlineStr">
        <is>
          <t>16L 제습기 / 캐리어 제습기</t>
        </is>
      </c>
      <c r="C53" s="12" t="inlineStr">
        <is>
          <t>CDHC-160AYLLYYH</t>
        </is>
      </c>
      <c r="D53" s="13" t="n">
        <v>240240</v>
      </c>
      <c r="E53" s="14" t="inlineStr">
        <is>
          <t>https://search.danawa.com/dsearch.php?query=%EC%BA%90%EB%A6%AC%EC%96%B4%20%EC%A0%9C%EC%8A%B5%EA%B8%B0%2016L</t>
        </is>
      </c>
      <c r="F53" s="14" t="inlineStr">
        <is>
          <t>https://www.coupang.com/np/search?q=CDHC-160AYLLYYH</t>
        </is>
      </c>
      <c r="G53" s="15" t="n"/>
      <c r="H53" s="16">
        <f>IF(G53="","",ROUND(G53-D53-G53*0.1188-L53,0))</f>
        <v/>
      </c>
      <c r="I53" s="17">
        <f>IF(OR(G53="",G53=0),"",ROUND(H53/G53*100,1))</f>
        <v/>
      </c>
      <c r="J53" s="18">
        <f>IF(G53="","위너가필요",IF(H53&gt;=10,"✅마진OK","❌미달"))</f>
        <v/>
      </c>
      <c r="K53" s="16" t="n">
        <v>272628</v>
      </c>
      <c r="L53" s="19" t="n">
        <v>0</v>
      </c>
      <c r="M53" s="20" t="inlineStr">
        <is>
          <t>하이마트</t>
        </is>
      </c>
      <c r="N53" s="20" t="inlineStr">
        <is>
          <t>최저가=카드전용(기본가기준) / 2위:G마켓=248,160원</t>
        </is>
      </c>
      <c r="O53" s="11" t="inlineStr">
        <is>
          <t>16</t>
        </is>
      </c>
      <c r="P53" s="21" t="n">
        <v>8</v>
      </c>
      <c r="Q53" s="22" t="inlineStr"/>
      <c r="R53" s="22" t="inlineStr"/>
      <c r="S53" s="19" t="inlineStr"/>
      <c r="T53" s="23" t="inlineStr">
        <is>
          <t>내조사(다나와84)</t>
        </is>
      </c>
      <c r="U53" s="23" t="inlineStr"/>
      <c r="V53" s="23" t="inlineStr"/>
    </row>
    <row r="54" ht="28" customHeight="1">
      <c r="A54" s="11" t="inlineStr">
        <is>
          <t>캐리어</t>
        </is>
      </c>
      <c r="B54" s="11" t="inlineStr">
        <is>
          <t>20L 제습기 / 캐리어 제습기</t>
        </is>
      </c>
      <c r="C54" s="12" t="inlineStr">
        <is>
          <t>CDHC-200AYMLOYH</t>
        </is>
      </c>
      <c r="D54" s="13" t="n">
        <v>243200</v>
      </c>
      <c r="E54" s="14" t="inlineStr">
        <is>
          <t>https://search.danawa.com/dsearch.php?query=%EC%BA%90%EB%A6%AC%EC%96%B4%20%EC%A0%9C%EC%8A%B5%EA%B8%B0%2020L</t>
        </is>
      </c>
      <c r="F54" s="14" t="inlineStr">
        <is>
          <t>https://www.coupang.com/np/search?q=CDHC-200AYMLOYH</t>
        </is>
      </c>
      <c r="G54" s="15" t="n"/>
      <c r="H54" s="16">
        <f>IF(G54="","",ROUND(G54-D54-G54*0.1188-L54,0))</f>
        <v/>
      </c>
      <c r="I54" s="17">
        <f>IF(OR(G54="",G54=0),"",ROUND(H54/G54*100,1))</f>
        <v/>
      </c>
      <c r="J54" s="18">
        <f>IF(G54="","위너가필요",IF(H54&gt;=10,"✅마진OK","❌미달"))</f>
        <v/>
      </c>
      <c r="K54" s="16" t="n">
        <v>275987</v>
      </c>
      <c r="L54" s="19" t="n">
        <v>0</v>
      </c>
      <c r="M54" s="20" t="inlineStr">
        <is>
          <t>쿠팡</t>
        </is>
      </c>
      <c r="N54" s="20" t="inlineStr">
        <is>
          <t>⚠쿠팡이최저=마진X / 2위:롯데홈쇼핑=247,520원</t>
        </is>
      </c>
      <c r="O54" s="11" t="inlineStr">
        <is>
          <t>20</t>
        </is>
      </c>
      <c r="P54" s="21" t="n">
        <v>86</v>
      </c>
      <c r="Q54" s="22" t="inlineStr"/>
      <c r="R54" s="22" t="inlineStr"/>
      <c r="S54" s="19" t="inlineStr"/>
      <c r="T54" s="23" t="inlineStr">
        <is>
          <t>내조사(다나와84)</t>
        </is>
      </c>
      <c r="U54" s="23" t="inlineStr">
        <is>
          <t>[신호/리드 — 2차 자료 기반, 실측 검증 아님] 캐리어 20L 제습기로 다나와/노써치/SSG/11번가/캐리어몰 등 다수 종합몰·가격비교 사이트에 정식 등재된 유통량 많은 주력 모델. 한 검색 요약이 "쿠팡 별점 4.5점, 리뷰 약 163개" 수준을 언급 → 인기·리뷰 축적 신호는 있으나 쿠팡 직접 접근 불가로 리뷰 수치는 미검증 리드로만 간주. 블로그/유튜브 내돈내산 후기는 주로 형제 모델(CDHC-200AYMAEYH)과 혼재되어 노출되며, 본 모델(LOYH) 단독 개별 리뷰 콘텐츠는 상대적으로 적은 편. 장마철·의류건조·원룸 수요층에서 꾸준히 검색되는 대용량 가성비 포지션.</t>
        </is>
      </c>
      <c r="V54" s="23" t="inlineStr">
        <is>
          <t>현재 수집된 2차 자료에서는 반품·과장광고·성능불만 관련 뚜렷한 부정 신호는 확인되지 않음(단점 특정 리뷰 미노출). 다만 주의할 리드: (1) 형제 모델(AEYH/ACLWOYH)과 모델명이 매우 유사해 소비자 오인·다른 모델 후기 혼동 가능 → 후기 신뢰도 판단 시 모델명 정확 매칭 필요. (2) 에너지 2등급(효율 2.53, 340W)로 1등급 모델(ACLWOYH) 대비 전기료·효율 불만 가능성 잠재. 실제 반품률·성능불만은 쿠팡 원문 리뷰 직접 확인 전까지 미확정.</t>
        </is>
      </c>
    </row>
    <row r="55" ht="28" customHeight="1">
      <c r="A55" s="11" t="inlineStr">
        <is>
          <t>위닉스</t>
        </is>
      </c>
      <c r="B55" s="11" t="inlineStr">
        <is>
          <t>10L 제습기 / 위닉스 제습기</t>
        </is>
      </c>
      <c r="C55" s="12" t="inlineStr">
        <is>
          <t>DXAH100-JWK</t>
        </is>
      </c>
      <c r="D55" s="13" t="n">
        <v>245250</v>
      </c>
      <c r="E55" s="14" t="inlineStr">
        <is>
          <t>https://search.danawa.com/dsearch.php?query=%EC%9C%84%EB%8B%89%EC%8A%A4%20%EC%A0%9C%EC%8A%B5%EA%B8%B0%2010L</t>
        </is>
      </c>
      <c r="F55" s="14" t="inlineStr">
        <is>
          <t>https://www.coupang.com/np/search?q=DXAH100-JWK</t>
        </is>
      </c>
      <c r="G55" s="15" t="n"/>
      <c r="H55" s="16">
        <f>IF(G55="","",ROUND(G55-D55-G55*0.1188-L55,0))</f>
        <v/>
      </c>
      <c r="I55" s="17">
        <f>IF(OR(G55="",G55=0),"",ROUND(H55/G55*100,1))</f>
        <v/>
      </c>
      <c r="J55" s="18">
        <f>IF(G55="","위너가필요",IF(H55&gt;=10,"✅마진OK","❌미달"))</f>
        <v/>
      </c>
      <c r="K55" s="16" t="n">
        <v>278314</v>
      </c>
      <c r="L55" s="19" t="n">
        <v>0</v>
      </c>
      <c r="M55" s="20" t="inlineStr">
        <is>
          <t>옥션</t>
        </is>
      </c>
      <c r="N55" s="20" t="inlineStr">
        <is>
          <t>2위:G마켓=249,600원</t>
        </is>
      </c>
      <c r="O55" s="11" t="inlineStr">
        <is>
          <t>10</t>
        </is>
      </c>
      <c r="P55" s="21" t="n">
        <v>48</v>
      </c>
      <c r="Q55" s="22" t="inlineStr"/>
      <c r="R55" s="22" t="inlineStr"/>
      <c r="S55" s="19" t="inlineStr"/>
      <c r="T55" s="23" t="inlineStr">
        <is>
          <t>내조사(다나와84)</t>
        </is>
      </c>
      <c r="U55" s="23" t="inlineStr">
        <is>
          <t>신호(리드): 쿠팡에서 약 217,000원대 판매 중이며 쿠팡 브랜드샵에도 노출되는 인기 라인업으로 확인됨. 2차 자료(가격비교/블로그/쇼핑몰)상 쿠팡 상품평이 '약 550개+긍정 평가'라는 언급이 있으나 이는 미검증 리드일 뿐 확정 리뷰 수 아님. 참고로 에누리에는 상품평 약 3,289건·평점 4.7 언급, 노써치 등에서도 다뤄지는 등 제습기 카테고리에서 대중적으로 많이 팔리는 스테디셀러 신호 강함. 장마철·빨래건조·욕실 습기 제거 용도로 후기가 활발하다는 정성 신호.</t>
        </is>
      </c>
      <c r="V55" s="23" t="inlineStr">
        <is>
          <t>뚜렷한 심각 위험 신호는 2차 자료에서 확인되지 않음. 다만 성능 관련 유의점: 에너지소비효율 3등급, 제습효율 1.92로 '보통' 수준이라 효율 기대치가 높은 구매자에겐 불만 소지 있음. 일일제습량 10L·13평 커버로 넓은 공간(20평 이상)에서는 체감 제습력 부족 가능. 반품 관련: 표시·광고와 다르거나 계약 불이행 시 수령일부터 3개월 내 교환/반품 가능이라는 일반 정책만 확인, 구체적 반품 사례나 과장광고 클레임은 검색되지 않음. 소음·에너지등급은 확인필요 항목.</t>
        </is>
      </c>
    </row>
    <row r="56" ht="28" customHeight="1">
      <c r="A56" s="11" t="inlineStr">
        <is>
          <t>제니퍼룸</t>
        </is>
      </c>
      <c r="B56" s="11" t="inlineStr">
        <is>
          <t>7L 제습기 / 제니퍼룸 제습기</t>
        </is>
      </c>
      <c r="C56" s="12" t="inlineStr">
        <is>
          <t>JR-DH0001WH</t>
        </is>
      </c>
      <c r="D56" s="13" t="n">
        <v>246370</v>
      </c>
      <c r="E56" s="14" t="inlineStr">
        <is>
          <t>https://search.danawa.com/dsearch.php?query=%EC%A0%9C%EB%8B%88%ED%8D%BC%EB%A3%B8%20%EC%A0%9C%EC%8A%B5%EA%B8%B0</t>
        </is>
      </c>
      <c r="F56" s="14" t="inlineStr">
        <is>
          <t>https://www.coupang.com/np/search?q=JR-DH0001WH</t>
        </is>
      </c>
      <c r="G56" s="15" t="n"/>
      <c r="H56" s="16">
        <f>IF(G56="","",ROUND(G56-D56-G56*0.1188-L56,0))</f>
        <v/>
      </c>
      <c r="I56" s="17">
        <f>IF(OR(G56="",G56=0),"",ROUND(H56/G56*100,1))</f>
        <v/>
      </c>
      <c r="J56" s="18">
        <f>IF(G56="","위너가필요",IF(H56&gt;=10,"✅마진OK","❌미달"))</f>
        <v/>
      </c>
      <c r="K56" s="16" t="n">
        <v>279585</v>
      </c>
      <c r="L56" s="19" t="n">
        <v>0</v>
      </c>
      <c r="M56" s="20" t="inlineStr">
        <is>
          <t>옥션</t>
        </is>
      </c>
      <c r="N56" s="20" t="inlineStr">
        <is>
          <t>2위:G마켓=250,980원</t>
        </is>
      </c>
      <c r="O56" s="11" t="inlineStr">
        <is>
          <t>7</t>
        </is>
      </c>
      <c r="P56" s="21" t="n">
        <v>13</v>
      </c>
      <c r="Q56" s="22" t="inlineStr"/>
      <c r="R56" s="22" t="inlineStr"/>
      <c r="S56" s="19" t="inlineStr"/>
      <c r="T56" s="23" t="inlineStr">
        <is>
          <t>내조사(다나와84)</t>
        </is>
      </c>
      <c r="U56" s="23" t="inlineStr"/>
      <c r="V56" s="23" t="inlineStr"/>
    </row>
    <row r="57" ht="28" customHeight="1">
      <c r="A57" s="11" t="inlineStr">
        <is>
          <t>위닉스</t>
        </is>
      </c>
      <c r="B57" s="11" t="inlineStr">
        <is>
          <t>10L 제습기 / 위닉스 제습기</t>
        </is>
      </c>
      <c r="C57" s="12" t="inlineStr">
        <is>
          <t>DXAH100-IWK</t>
        </is>
      </c>
      <c r="D57" s="13" t="n">
        <v>246800</v>
      </c>
      <c r="E57" s="14" t="inlineStr">
        <is>
          <t>https://search.danawa.com/dsearch.php?query=%EC%9C%84%EB%8B%89%EC%8A%A4%20%EC%A0%9C%EC%8A%B5%EA%B8%B0%2010L</t>
        </is>
      </c>
      <c r="F57" s="14" t="inlineStr">
        <is>
          <t>https://www.coupang.com/np/search?q=DXAH100-IWK</t>
        </is>
      </c>
      <c r="G57" s="15" t="n"/>
      <c r="H57" s="16">
        <f>IF(G57="","",ROUND(G57-D57-G57*0.1188-L57,0))</f>
        <v/>
      </c>
      <c r="I57" s="17">
        <f>IF(OR(G57="",G57=0),"",ROUND(H57/G57*100,1))</f>
        <v/>
      </c>
      <c r="J57" s="18">
        <f>IF(G57="","위너가필요",IF(H57&gt;=10,"✅마진OK","❌미달"))</f>
        <v/>
      </c>
      <c r="K57" s="16" t="n">
        <v>280073</v>
      </c>
      <c r="L57" s="19" t="n">
        <v>0</v>
      </c>
      <c r="M57" s="20" t="inlineStr">
        <is>
          <t>옥션</t>
        </is>
      </c>
      <c r="N57" s="20" t="inlineStr">
        <is>
          <t>2위:G마켓=250,940원</t>
        </is>
      </c>
      <c r="O57" s="11" t="inlineStr">
        <is>
          <t>10</t>
        </is>
      </c>
      <c r="P57" s="21" t="n">
        <v>6</v>
      </c>
      <c r="Q57" s="22" t="inlineStr"/>
      <c r="R57" s="22" t="inlineStr"/>
      <c r="S57" s="19" t="inlineStr"/>
      <c r="T57" s="23" t="inlineStr">
        <is>
          <t>내조사(다나와84)</t>
        </is>
      </c>
      <c r="U57" s="23" t="inlineStr"/>
      <c r="V57" s="23" t="inlineStr"/>
    </row>
    <row r="58" ht="28" customHeight="1">
      <c r="A58" s="11" t="inlineStr">
        <is>
          <t>캐리어</t>
        </is>
      </c>
      <c r="B58" s="11" t="inlineStr">
        <is>
          <t>20L 제습기 / 캐리어 제습기</t>
        </is>
      </c>
      <c r="C58" s="12" t="inlineStr">
        <is>
          <t>CDHC-200AYMAEYH</t>
        </is>
      </c>
      <c r="D58" s="13" t="n">
        <v>248990</v>
      </c>
      <c r="E58" s="14" t="inlineStr">
        <is>
          <t>https://search.danawa.com/dsearch.php?query=%EC%BA%90%EB%A6%AC%EC%96%B4%20%EC%A0%9C%EC%8A%B5%EA%B8%B0%2020L</t>
        </is>
      </c>
      <c r="F58" s="14" t="inlineStr">
        <is>
          <t>https://www.coupang.com/np/search?q=CDHC-200AYMAEYH</t>
        </is>
      </c>
      <c r="G58" s="15" t="n"/>
      <c r="H58" s="16">
        <f>IF(G58="","",ROUND(G58-D58-G58*0.1188-L58,0))</f>
        <v/>
      </c>
      <c r="I58" s="17">
        <f>IF(OR(G58="",G58=0),"",ROUND(H58/G58*100,1))</f>
        <v/>
      </c>
      <c r="J58" s="18">
        <f>IF(G58="","위너가필요",IF(H58&gt;=10,"✅마진OK","❌미달"))</f>
        <v/>
      </c>
      <c r="K58" s="16" t="n">
        <v>282558</v>
      </c>
      <c r="L58" s="19" t="n">
        <v>0</v>
      </c>
      <c r="M58" s="20" t="inlineStr">
        <is>
          <t>롯데ON</t>
        </is>
      </c>
      <c r="N58" s="20" t="inlineStr">
        <is>
          <t>2위:쿠팡=257,000원</t>
        </is>
      </c>
      <c r="O58" s="11" t="inlineStr">
        <is>
          <t>20</t>
        </is>
      </c>
      <c r="P58" s="21" t="n">
        <v>27</v>
      </c>
      <c r="Q58" s="22" t="inlineStr"/>
      <c r="R58" s="22" t="inlineStr"/>
      <c r="S58" s="19" t="inlineStr"/>
      <c r="T58" s="23" t="inlineStr">
        <is>
          <t>내조사(다나와84)</t>
        </is>
      </c>
      <c r="U58" s="23" t="inlineStr"/>
      <c r="V58" s="23" t="inlineStr"/>
    </row>
    <row r="59" ht="28" customHeight="1">
      <c r="A59" s="11" t="inlineStr">
        <is>
          <t>대성쎌틱</t>
        </is>
      </c>
      <c r="B59" s="11" t="inlineStr">
        <is>
          <t>10L 제습기 / 대성쎌틱 제습기</t>
        </is>
      </c>
      <c r="C59" s="12" t="inlineStr">
        <is>
          <t>DSD-6210W</t>
        </is>
      </c>
      <c r="D59" s="13" t="n">
        <v>249000</v>
      </c>
      <c r="E59" s="14" t="inlineStr">
        <is>
          <t>https://prod.danawa.com/info/?pcode=122659927</t>
        </is>
      </c>
      <c r="F59" s="14" t="inlineStr">
        <is>
          <t>https://www.coupang.com/np/search?q=DSD-6210W</t>
        </is>
      </c>
      <c r="G59" s="15" t="n"/>
      <c r="H59" s="16">
        <f>IF(G59="","",ROUND(G59-D59-G59*0.1188-L59,0))</f>
        <v/>
      </c>
      <c r="I59" s="17">
        <f>IF(OR(G59="",G59=0),"",ROUND(H59/G59*100,1))</f>
        <v/>
      </c>
      <c r="J59" s="18">
        <f>IF(G59="","위너가필요",IF(H59&gt;=10,"✅마진OK","❌미달"))</f>
        <v/>
      </c>
      <c r="K59" s="16" t="n">
        <v>282569</v>
      </c>
      <c r="L59" s="19" t="n">
        <v>0</v>
      </c>
      <c r="M59" s="20" t="inlineStr"/>
      <c r="N59" s="20" t="inlineStr"/>
      <c r="O59" s="11" t="n">
        <v>10</v>
      </c>
      <c r="P59" s="21" t="inlineStr"/>
      <c r="Q59" s="22" t="inlineStr"/>
      <c r="R59" s="22" t="inlineStr"/>
      <c r="S59" s="19" t="inlineStr"/>
      <c r="T59" s="23" t="inlineStr">
        <is>
          <t>업로드①마진계산</t>
        </is>
      </c>
      <c r="U59" s="23" t="inlineStr"/>
      <c r="V59" s="23" t="inlineStr">
        <is>
          <t>10L 소형. 쿠팡리뷰 적을 수 있음—30개 미만시 제외</t>
        </is>
      </c>
    </row>
    <row r="60" ht="28" customHeight="1">
      <c r="A60" s="11" t="inlineStr">
        <is>
          <t>캐리어</t>
        </is>
      </c>
      <c r="B60" s="11" t="inlineStr">
        <is>
          <t>20L 제습기 / 캐리어 제습기</t>
        </is>
      </c>
      <c r="C60" s="12" t="inlineStr">
        <is>
          <t>CDHM-C020LMOB</t>
        </is>
      </c>
      <c r="D60" s="13" t="n">
        <v>252080</v>
      </c>
      <c r="E60" s="14" t="inlineStr">
        <is>
          <t>https://search.danawa.com/dsearch.php?query=%EC%BA%90%EB%A6%AC%EC%96%B4%20%EC%A0%9C%EC%8A%B5%EA%B8%B0%2020L</t>
        </is>
      </c>
      <c r="F60" s="14" t="inlineStr">
        <is>
          <t>https://www.coupang.com/np/search?q=CDHM-C020LMOB</t>
        </is>
      </c>
      <c r="G60" s="15" t="n"/>
      <c r="H60" s="16">
        <f>IF(G60="","",ROUND(G60-D60-G60*0.1188-L60,0))</f>
        <v/>
      </c>
      <c r="I60" s="17">
        <f>IF(OR(G60="",G60=0),"",ROUND(H60/G60*100,1))</f>
        <v/>
      </c>
      <c r="J60" s="18">
        <f>IF(G60="","위너가필요",IF(H60&gt;=10,"✅마진OK","❌미달"))</f>
        <v/>
      </c>
      <c r="K60" s="16" t="n">
        <v>286064</v>
      </c>
      <c r="L60" s="19" t="n">
        <v>0</v>
      </c>
      <c r="M60" s="20" t="inlineStr">
        <is>
          <t>11번가</t>
        </is>
      </c>
      <c r="N60" s="20" t="inlineStr">
        <is>
          <t>2위:SSG.COM=252,605원(카드전용가)</t>
        </is>
      </c>
      <c r="O60" s="11" t="inlineStr">
        <is>
          <t>20</t>
        </is>
      </c>
      <c r="P60" s="21" t="n">
        <v>29</v>
      </c>
      <c r="Q60" s="22" t="inlineStr"/>
      <c r="R60" s="22" t="inlineStr"/>
      <c r="S60" s="19" t="inlineStr"/>
      <c r="T60" s="23" t="inlineStr">
        <is>
          <t>내조사(다나와84)</t>
        </is>
      </c>
      <c r="U60" s="23" t="inlineStr"/>
      <c r="V60" s="23" t="inlineStr"/>
    </row>
    <row r="61" ht="28" customHeight="1">
      <c r="A61" s="11" t="inlineStr">
        <is>
          <t>캐리어</t>
        </is>
      </c>
      <c r="B61" s="11" t="inlineStr">
        <is>
          <t>16L 제습기 / 캐리어 제습기</t>
        </is>
      </c>
      <c r="C61" s="12" t="inlineStr">
        <is>
          <t>CDHC-160AYLLEYH</t>
        </is>
      </c>
      <c r="D61" s="13" t="n">
        <v>256240</v>
      </c>
      <c r="E61" s="14" t="inlineStr">
        <is>
          <t>https://search.danawa.com/dsearch.php?query=%EC%BA%90%EB%A6%AC%EC%96%B4%20%EC%A0%9C%EC%8A%B5%EA%B8%B0%2016L</t>
        </is>
      </c>
      <c r="F61" s="14" t="inlineStr">
        <is>
          <t>https://www.coupang.com/np/search?q=CDHC-160AYLLEYH</t>
        </is>
      </c>
      <c r="G61" s="15" t="n"/>
      <c r="H61" s="16">
        <f>IF(G61="","",ROUND(G61-D61-G61*0.1188-L61,0))</f>
        <v/>
      </c>
      <c r="I61" s="17">
        <f>IF(OR(G61="",G61=0),"",ROUND(H61/G61*100,1))</f>
        <v/>
      </c>
      <c r="J61" s="18">
        <f>IF(G61="","위너가필요",IF(H61&gt;=10,"✅마진OK","❌미달"))</f>
        <v/>
      </c>
      <c r="K61" s="16" t="n">
        <v>290785</v>
      </c>
      <c r="L61" s="19" t="n">
        <v>0</v>
      </c>
      <c r="M61" s="20" t="inlineStr">
        <is>
          <t>11번가</t>
        </is>
      </c>
      <c r="N61" s="20" t="inlineStr">
        <is>
          <t>2위:롯데ON=256,250원</t>
        </is>
      </c>
      <c r="O61" s="11" t="inlineStr">
        <is>
          <t>16</t>
        </is>
      </c>
      <c r="P61" s="21" t="n">
        <v>7</v>
      </c>
      <c r="Q61" s="22" t="inlineStr"/>
      <c r="R61" s="22" t="inlineStr"/>
      <c r="S61" s="19" t="inlineStr"/>
      <c r="T61" s="23" t="inlineStr">
        <is>
          <t>내조사(다나와84)</t>
        </is>
      </c>
      <c r="U61" s="23" t="inlineStr"/>
      <c r="V61" s="23" t="inlineStr"/>
    </row>
    <row r="62" ht="28" customHeight="1">
      <c r="A62" s="11" t="inlineStr">
        <is>
          <t>보아르</t>
        </is>
      </c>
      <c r="B62" s="11" t="inlineStr">
        <is>
          <t>18L 제습기 / 보아르 제습기</t>
        </is>
      </c>
      <c r="C62" s="12" t="inlineStr">
        <is>
          <t>VO-DE002</t>
        </is>
      </c>
      <c r="D62" s="13" t="n">
        <v>258000</v>
      </c>
      <c r="E62" s="14" t="inlineStr">
        <is>
          <t>https://search.danawa.com/dsearch.php?query=%EB%B3%B4%EC%95%84%EB%A5%B4%20%EC%A0%9C%EC%8A%B5%EA%B8%B0</t>
        </is>
      </c>
      <c r="F62" s="14" t="inlineStr">
        <is>
          <t>https://www.coupang.com/np/search?q=VO-DE002</t>
        </is>
      </c>
      <c r="G62" s="15" t="n"/>
      <c r="H62" s="16">
        <f>IF(G62="","",ROUND(G62-D62-G62*0.1188-L62,0))</f>
        <v/>
      </c>
      <c r="I62" s="17">
        <f>IF(OR(G62="",G62=0),"",ROUND(H62/G62*100,1))</f>
        <v/>
      </c>
      <c r="J62" s="18">
        <f>IF(G62="","위너가필요",IF(H62&gt;=10,"✅마진OK","❌미달"))</f>
        <v/>
      </c>
      <c r="K62" s="16" t="n">
        <v>292783</v>
      </c>
      <c r="L62" s="19" t="n">
        <v>0</v>
      </c>
      <c r="M62" s="20" t="inlineStr">
        <is>
          <t>쿠팡</t>
        </is>
      </c>
      <c r="N62" s="20" t="inlineStr">
        <is>
          <t>⚠쿠팡이최저=마진X / 2위:옥션=279,000원(카드전용가)</t>
        </is>
      </c>
      <c r="O62" s="11" t="inlineStr">
        <is>
          <t>18</t>
        </is>
      </c>
      <c r="P62" s="21" t="n">
        <v>22</v>
      </c>
      <c r="Q62" s="22" t="inlineStr"/>
      <c r="R62" s="22" t="inlineStr"/>
      <c r="S62" s="19" t="inlineStr"/>
      <c r="T62" s="23" t="inlineStr">
        <is>
          <t>내조사(다나와84)</t>
        </is>
      </c>
      <c r="U62" s="23" t="inlineStr"/>
      <c r="V62" s="23" t="inlineStr"/>
    </row>
    <row r="63" ht="28" customHeight="1">
      <c r="A63" s="11" t="inlineStr">
        <is>
          <t>홈플래닛</t>
        </is>
      </c>
      <c r="B63" s="11" t="inlineStr">
        <is>
          <t>16L 제습기 / 홈플래닛 제습기</t>
        </is>
      </c>
      <c r="C63" s="12" t="inlineStr">
        <is>
          <t>PD10A</t>
        </is>
      </c>
      <c r="D63" s="13" t="n">
        <v>266560</v>
      </c>
      <c r="E63" s="14" t="inlineStr">
        <is>
          <t>https://search.danawa.com/dsearch.php?query=%ED%99%88%ED%94%8C%EB%9E%98%EB%8B%9B%20%EC%A0%9C%EC%8A%B5%EA%B8%B0</t>
        </is>
      </c>
      <c r="F63" s="14" t="inlineStr">
        <is>
          <t>https://www.coupang.com/np/search?q=PD10A</t>
        </is>
      </c>
      <c r="G63" s="15" t="n"/>
      <c r="H63" s="16">
        <f>IF(G63="","",ROUND(G63-D63-G63*0.1188-L63,0))</f>
        <v/>
      </c>
      <c r="I63" s="17">
        <f>IF(OR(G63="",G63=0),"",ROUND(H63/G63*100,1))</f>
        <v/>
      </c>
      <c r="J63" s="18">
        <f>IF(G63="","위너가필요",IF(H63&gt;=10,"✅마진OK","❌미달"))</f>
        <v/>
      </c>
      <c r="K63" s="16" t="n">
        <v>302497</v>
      </c>
      <c r="L63" s="19" t="n">
        <v>0</v>
      </c>
      <c r="M63" s="20" t="inlineStr">
        <is>
          <t>11번가</t>
        </is>
      </c>
      <c r="N63" s="20" t="inlineStr">
        <is>
          <t>2위:G마켓=266,570원</t>
        </is>
      </c>
      <c r="O63" s="11" t="inlineStr">
        <is>
          <t>16</t>
        </is>
      </c>
      <c r="P63" s="21" t="n">
        <v>7</v>
      </c>
      <c r="Q63" s="22" t="inlineStr"/>
      <c r="R63" s="22" t="inlineStr"/>
      <c r="S63" s="19" t="inlineStr"/>
      <c r="T63" s="23" t="inlineStr">
        <is>
          <t>내조사(다나와84)</t>
        </is>
      </c>
      <c r="U63" s="23" t="inlineStr"/>
      <c r="V63" s="23" t="inlineStr"/>
    </row>
    <row r="64" ht="28" customHeight="1">
      <c r="A64" s="11" t="inlineStr">
        <is>
          <t>위닉스</t>
        </is>
      </c>
      <c r="B64" s="11" t="inlineStr">
        <is>
          <t>10L 제습기 / 위닉스 제습기</t>
        </is>
      </c>
      <c r="C64" s="12" t="inlineStr">
        <is>
          <t>DXAE100-JWK</t>
        </is>
      </c>
      <c r="D64" s="13" t="n">
        <v>271800</v>
      </c>
      <c r="E64" s="14" t="inlineStr">
        <is>
          <t>https://search.danawa.com/dsearch.php?query=%EC%9C%84%EB%8B%89%EC%8A%A4%20%EC%A0%9C%EC%8A%B5%EA%B8%B0%2010L</t>
        </is>
      </c>
      <c r="F64" s="14" t="inlineStr">
        <is>
          <t>https://www.coupang.com/np/search?q=DXAE100-JWK</t>
        </is>
      </c>
      <c r="G64" s="15" t="n"/>
      <c r="H64" s="16">
        <f>IF(G64="","",ROUND(G64-D64-G64*0.1188-L64,0))</f>
        <v/>
      </c>
      <c r="I64" s="17">
        <f>IF(OR(G64="",G64=0),"",ROUND(H64/G64*100,1))</f>
        <v/>
      </c>
      <c r="J64" s="18">
        <f>IF(G64="","위너가필요",IF(H64&gt;=10,"✅마진OK","❌미달"))</f>
        <v/>
      </c>
      <c r="K64" s="16" t="n">
        <v>308443</v>
      </c>
      <c r="L64" s="19" t="n">
        <v>0</v>
      </c>
      <c r="M64" s="20" t="inlineStr">
        <is>
          <t>센바이노 네이버페이</t>
        </is>
      </c>
      <c r="N64" s="20" t="inlineStr">
        <is>
          <t>2위:옥션=281,210원</t>
        </is>
      </c>
      <c r="O64" s="11" t="inlineStr">
        <is>
          <t>10</t>
        </is>
      </c>
      <c r="P64" s="21" t="n">
        <v>61</v>
      </c>
      <c r="Q64" s="22" t="inlineStr"/>
      <c r="R64" s="22" t="inlineStr"/>
      <c r="S64" s="19" t="inlineStr"/>
      <c r="T64" s="23" t="inlineStr">
        <is>
          <t>내조사(다나와84)</t>
        </is>
      </c>
      <c r="U64" s="23" t="inlineStr">
        <is>
          <t>[신호/리드 — 확정 아님] 쿠팡 직접 접근 불가로 2차 자료 기준 간접 신호만 정리함. (1) 가격비교 사이트(다나와/에누리/노서치)와 다수 쇼핑몰(11번가·SSG·이랜드몰·LG생활건강몰·위닉스 공식몰)에 폭넓게 등재된 '유통 스테디셀러' 신호 — 장마철 대표 제습기로 블로그/리뷰 콘텐츠가 반복 생성됨. (2) 꿀리뷰 등 리뷰 애그리게이터가 '장단점+최저가' 별도 페이지를 만들 만큼 검색 수요 존재. (3) 타 쇼핑몰 평점이 5점 만점 4.7 수준으로 언급됨(쿠팡 아닌 타몰 수치, 참고용). (4) '제품 등록 방법' 블로그 글이 여러 건 존재 = 실사용자 물량이 있다는 방증. 결론: 쿠팡에서도 인기/리뷰 다수일 개연성이 높은 '리드'는 확인되나, 쿠팡 실제 리뷰 수·평점은 미검증.</t>
        </is>
      </c>
      <c r="V64" s="23" t="inlineStr">
        <is>
          <t>[반품] 개봉·사용 제품 교환/반품 제한 정책 반복 언급 — 대형 가전 특성상 단순변심 반품 마찰·회수비 리스크. [성능불만] 소음이 '약간 있다'는 후기가 공통적으로 등장(정숙성 기대 낮추는 것이 안전). 무게 14.5kg으로 체감보다 큼/무거움 언급 → 크기 기대치 관련 컴플레인 소지. [과장광고] 2020~2021년 생산 구형 재고가 '신품'처럼 유통되는 정황(연식 표기 상이) — 소싱 시 생산연도·재고 연식 반드시 확인. [기타] 연속배수 호스가 별도 판매(악세서리)로 다수 노출 → 기본 구성 오인 클레임 가능. 과장광고성 심각 위험 신호는 발견되지 않음.</t>
        </is>
      </c>
    </row>
    <row r="65" ht="28" customHeight="1">
      <c r="A65" s="11" t="inlineStr">
        <is>
          <t>제니퍼룸</t>
        </is>
      </c>
      <c r="B65" s="11" t="inlineStr">
        <is>
          <t>18L 제습기 / 제니퍼룸 제습기</t>
        </is>
      </c>
      <c r="C65" s="12" t="inlineStr">
        <is>
          <t>JRG-DH1801WH</t>
        </is>
      </c>
      <c r="D65" s="13" t="n">
        <v>278940</v>
      </c>
      <c r="E65" s="14" t="inlineStr">
        <is>
          <t>https://search.danawa.com/dsearch.php?query=%EC%A0%9C%EB%8B%88%ED%8D%BC%EB%A3%B8%20%EC%A0%9C%EC%8A%B5%EA%B8%B0</t>
        </is>
      </c>
      <c r="F65" s="14" t="inlineStr">
        <is>
          <t>https://www.coupang.com/np/search?q=JRG-DH1801WH</t>
        </is>
      </c>
      <c r="G65" s="15" t="n"/>
      <c r="H65" s="16">
        <f>IF(G65="","",ROUND(G65-D65-G65*0.1188-L65,0))</f>
        <v/>
      </c>
      <c r="I65" s="17">
        <f>IF(OR(G65="",G65=0),"",ROUND(H65/G65*100,1))</f>
        <v/>
      </c>
      <c r="J65" s="18">
        <f>IF(G65="","위너가필요",IF(H65&gt;=10,"✅마진OK","❌미달"))</f>
        <v/>
      </c>
      <c r="K65" s="16" t="n">
        <v>316546</v>
      </c>
      <c r="L65" s="19" t="n">
        <v>0</v>
      </c>
      <c r="M65" s="20" t="inlineStr">
        <is>
          <t>옥션</t>
        </is>
      </c>
      <c r="N65" s="20" t="inlineStr">
        <is>
          <t>⚠쿠팡이최저=마진X / 2위:쿠팡=278,940원</t>
        </is>
      </c>
      <c r="O65" s="11" t="inlineStr">
        <is>
          <t>18</t>
        </is>
      </c>
      <c r="P65" s="21" t="n">
        <v>16</v>
      </c>
      <c r="Q65" s="22" t="inlineStr"/>
      <c r="R65" s="22" t="inlineStr"/>
      <c r="S65" s="19" t="inlineStr"/>
      <c r="T65" s="23" t="inlineStr">
        <is>
          <t>내조사(다나와84)</t>
        </is>
      </c>
      <c r="U65" s="23" t="inlineStr"/>
      <c r="V65" s="23" t="inlineStr"/>
    </row>
    <row r="66" ht="28" customHeight="1">
      <c r="A66" s="11" t="inlineStr">
        <is>
          <t>캐리어</t>
        </is>
      </c>
      <c r="B66" s="11" t="inlineStr">
        <is>
          <t>20L 제습기 / 캐리어 제습기</t>
        </is>
      </c>
      <c r="C66" s="12" t="inlineStr">
        <is>
          <t>CDHC-200AXLWAYH</t>
        </is>
      </c>
      <c r="D66" s="13" t="n">
        <v>288000</v>
      </c>
      <c r="E66" s="14" t="inlineStr">
        <is>
          <t>https://search.danawa.com/dsearch.php?query=%EC%BA%90%EB%A6%AC%EC%96%B4%20%EC%A0%9C%EC%8A%B5%EA%B8%B0%2020L</t>
        </is>
      </c>
      <c r="F66" s="14" t="inlineStr">
        <is>
          <t>https://www.coupang.com/np/search?q=CDHC-200AXLWAYH</t>
        </is>
      </c>
      <c r="G66" s="15" t="n"/>
      <c r="H66" s="16">
        <f>IF(G66="","",ROUND(G66-D66-G66*0.1188-L66,0))</f>
        <v/>
      </c>
      <c r="I66" s="17">
        <f>IF(OR(G66="",G66=0),"",ROUND(H66/G66*100,1))</f>
        <v/>
      </c>
      <c r="J66" s="18">
        <f>IF(G66="","위너가필요",IF(H66&gt;=10,"✅마진OK","❌미달"))</f>
        <v/>
      </c>
      <c r="K66" s="16" t="n">
        <v>326827</v>
      </c>
      <c r="L66" s="19" t="n">
        <v>0</v>
      </c>
      <c r="M66" s="20" t="inlineStr">
        <is>
          <t>11번가</t>
        </is>
      </c>
      <c r="N66" s="20" t="inlineStr">
        <is>
          <t>2위:쿠팡=290,000원</t>
        </is>
      </c>
      <c r="O66" s="11" t="inlineStr">
        <is>
          <t>20</t>
        </is>
      </c>
      <c r="P66" s="21" t="n">
        <v>28</v>
      </c>
      <c r="Q66" s="22" t="inlineStr"/>
      <c r="R66" s="22" t="inlineStr"/>
      <c r="S66" s="19" t="inlineStr"/>
      <c r="T66" s="23" t="inlineStr">
        <is>
          <t>내조사(다나와84)</t>
        </is>
      </c>
      <c r="U66" s="23" t="inlineStr"/>
      <c r="V66" s="23" t="inlineStr"/>
    </row>
    <row r="67" ht="28" customHeight="1">
      <c r="A67" s="11" t="inlineStr">
        <is>
          <t>위닉스</t>
        </is>
      </c>
      <c r="B67" s="11" t="inlineStr">
        <is>
          <t>16L 제습기 / 위닉스 제습기</t>
        </is>
      </c>
      <c r="C67" s="12" t="inlineStr">
        <is>
          <t>DO2E160-JWK</t>
        </is>
      </c>
      <c r="D67" s="13" t="n">
        <v>289000</v>
      </c>
      <c r="E67" s="14" t="inlineStr">
        <is>
          <t>https://search.danawa.com/dsearch.php?query=%EC%9C%84%EB%8B%89%EC%8A%A4%20%EB%BD%80%EC%86%A1%2016L%20%EC%A0%9C%EC%8A%B5%EA%B8%B0</t>
        </is>
      </c>
      <c r="F67" s="14" t="inlineStr">
        <is>
          <t>https://www.coupang.com/vp/products/8700448063?itemId=25264814625&amp;vendorItemId=92260639144</t>
        </is>
      </c>
      <c r="G67" s="15" t="n"/>
      <c r="H67" s="16">
        <f>IF(G67="","",ROUND(G67-D67-G67*0.1188-L67,0))</f>
        <v/>
      </c>
      <c r="I67" s="17">
        <f>IF(OR(G67="",G67=0),"",ROUND(H67/G67*100,1))</f>
        <v/>
      </c>
      <c r="J67" s="18">
        <f>IF(G67="","위너가필요",IF(H67&gt;=10,"✅마진OK","❌미달"))</f>
        <v/>
      </c>
      <c r="K67" s="16" t="n">
        <v>327962</v>
      </c>
      <c r="L67" s="19" t="n">
        <v>0</v>
      </c>
      <c r="M67" s="20" t="inlineStr">
        <is>
          <t>오늘의집</t>
        </is>
      </c>
      <c r="N67" s="20" t="inlineStr">
        <is>
          <t>최저가=카드전용(기본가기준) / 2위:옥션=336,630원</t>
        </is>
      </c>
      <c r="O67" s="11" t="inlineStr">
        <is>
          <t>16</t>
        </is>
      </c>
      <c r="P67" s="21" t="n">
        <v>212</v>
      </c>
      <c r="Q67" s="22" t="n">
        <v>0</v>
      </c>
      <c r="R67" s="22" t="inlineStr">
        <is>
          <t>판매 정보 부족</t>
        </is>
      </c>
      <c r="S67" s="19" t="inlineStr"/>
      <c r="T67" s="23" t="inlineStr">
        <is>
          <t>내조사(다나와84) + 업로드①마진계산 + 업로드쿠팡실측</t>
        </is>
      </c>
      <c r="U67" s="23" t="inlineStr">
        <is>
          <t>[신호/리드 — 검증 아님] 2차 자료(꿀리뷰, nosearch 리뷰·스펙분석, 클리앙 지름게시판 등)에서 이 모델이 쿠팡 인기 제습기로 반복 언급됨. 한 리뷰 글에 '쿠팡 별점 4.7 / 리뷰 약 1,356개' 수치가 인용되어 있으나 이는 2차 자료의 인용값이므로 실측 확정치가 아닌 리드로만 취급. 쿠팡에는 인접 모델 DO2W160-IWK도 함께 유통되어 모델 구분 주의 필요. 종합적으로 '위닉스 뽀송 16L 라인'이 블로그/커뮤니티/가격비교 사이트에서 높은 노출·추천 빈도를 보이는 스테디셀러 신호는 뚜렷함.</t>
        </is>
      </c>
      <c r="V67" s="23" t="inlineStr">
        <is>
          <t>[업로드판정:제외] 쿠팡 상품평이 없어 검증 상품 조건에 맞지 않음.</t>
        </is>
      </c>
    </row>
    <row r="68" ht="28" customHeight="1">
      <c r="A68" s="11" t="inlineStr">
        <is>
          <t>위닉스</t>
        </is>
      </c>
      <c r="B68" s="11" t="inlineStr">
        <is>
          <t>16L 제습기 / 위닉스 제습기</t>
        </is>
      </c>
      <c r="C68" s="12" t="inlineStr">
        <is>
          <t>DN2E160-KWK</t>
        </is>
      </c>
      <c r="D68" s="13" t="n">
        <v>293037</v>
      </c>
      <c r="E68" s="14" t="inlineStr">
        <is>
          <t>https://search.danawa.com/dsearch.php?query=%EC%9C%84%EB%8B%89%EC%8A%A4%20%EB%BD%80%EC%86%A1%2016L%20%EC%A0%9C%EC%8A%B5%EA%B8%B0</t>
        </is>
      </c>
      <c r="F68" s="14" t="inlineStr">
        <is>
          <t>https://www.coupang.com/vp/products/8100392296?itemId=22907825894&amp;vendorItemId=89981386101</t>
        </is>
      </c>
      <c r="G68" s="15" t="n"/>
      <c r="H68" s="16">
        <f>IF(G68="","",ROUND(G68-D68-G68*0.1188-L68,0))</f>
        <v/>
      </c>
      <c r="I68" s="17">
        <f>IF(OR(G68="",G68=0),"",ROUND(H68/G68*100,1))</f>
        <v/>
      </c>
      <c r="J68" s="18">
        <f>IF(G68="","위너가필요",IF(H68&gt;=10,"✅마진OK","❌미달"))</f>
        <v/>
      </c>
      <c r="K68" s="16" t="n">
        <v>332543</v>
      </c>
      <c r="L68" s="19" t="n">
        <v>0</v>
      </c>
      <c r="M68" s="20" t="inlineStr">
        <is>
          <t>SSG.COM</t>
        </is>
      </c>
      <c r="N68" s="20" t="inlineStr">
        <is>
          <t>2위:옥션=296,180원 (현대Hmall 295,940은 카드전용가라 제외)</t>
        </is>
      </c>
      <c r="O68" s="11" t="inlineStr">
        <is>
          <t>16</t>
        </is>
      </c>
      <c r="P68" s="21" t="n">
        <v>245</v>
      </c>
      <c r="Q68" s="22" t="n">
        <v>589</v>
      </c>
      <c r="R68" s="22" t="inlineStr">
        <is>
          <t>판매중지/품절</t>
        </is>
      </c>
      <c r="S68" s="19" t="inlineStr"/>
      <c r="T68" s="23" t="inlineStr">
        <is>
          <t>내조사(다나와84) + 업로드쿠팡실측</t>
        </is>
      </c>
      <c r="U68" s="23" t="inlineStr">
        <is>
          <t>[신호/리드 — 검증 아님] 2차 자료(블로그·쇼핑몰) 기준 위닉스 뽀송 16L 시리즈는 쿠팡에서 인기 제습기 라인으로 반복 언급됨. 다만 DN2E160-KWK 정확 모델의 쿠팡 리뷰 페이지는 직접 확인 불가. 검색상 노출된 쿠팡 리뷰 수치(별점 4.7 / 리뷰 약 1,356개)는 동일 모델이 아니라 유사·구형 모델(DO2W160-IWK)의 것으로 보이므로 DN2E160-KWK의 확정 리뷰 수로 사용 불가. 11번가·SSG·위니텍 등 타 채널에서도 공식 판매되며 후기 다수 존재 → '인기/리뷰 많음' 방향의 신호는 있으나 쿠팡 한정 확정 수치는 미확인.</t>
        </is>
      </c>
      <c r="V68" s="23" t="inlineStr">
        <is>
          <t>[품절→제외] 리뷰는 충분하지만 현재 판매중이 아니어서 즉시 소싱 대상에서 제외.</t>
        </is>
      </c>
    </row>
    <row r="69" ht="28" customHeight="1">
      <c r="A69" s="11" t="inlineStr">
        <is>
          <t>위닉스</t>
        </is>
      </c>
      <c r="B69" s="11" t="inlineStr">
        <is>
          <t>10L 제습기 / 위닉스 제습기</t>
        </is>
      </c>
      <c r="C69" s="12" t="inlineStr">
        <is>
          <t>DXTE100-KWK</t>
        </is>
      </c>
      <c r="D69" s="13" t="n">
        <v>297230</v>
      </c>
      <c r="E69" s="14" t="inlineStr">
        <is>
          <t>https://search.danawa.com/dsearch.php?query=%EC%9C%84%EB%8B%89%EC%8A%A4%20%EC%A0%9C%EC%8A%B5%EA%B8%B0%2010L</t>
        </is>
      </c>
      <c r="F69" s="14" t="inlineStr">
        <is>
          <t>https://www.coupang.com/np/search?q=DXTE100-KWK</t>
        </is>
      </c>
      <c r="G69" s="15" t="n"/>
      <c r="H69" s="16">
        <f>IF(G69="","",ROUND(G69-D69-G69*0.1188-L69,0))</f>
        <v/>
      </c>
      <c r="I69" s="17">
        <f>IF(OR(G69="",G69=0),"",ROUND(H69/G69*100,1))</f>
        <v/>
      </c>
      <c r="J69" s="18">
        <f>IF(G69="","위너가필요",IF(H69&gt;=10,"✅마진OK","❌미달"))</f>
        <v/>
      </c>
      <c r="K69" s="16" t="n">
        <v>337301</v>
      </c>
      <c r="L69" s="19" t="n">
        <v>0</v>
      </c>
      <c r="M69" s="20" t="inlineStr">
        <is>
          <t>롯데ON</t>
        </is>
      </c>
      <c r="N69" s="20" t="inlineStr">
        <is>
          <t>2위:옥션=297,240원</t>
        </is>
      </c>
      <c r="O69" s="11" t="inlineStr">
        <is>
          <t>10</t>
        </is>
      </c>
      <c r="P69" s="21" t="n">
        <v>22</v>
      </c>
      <c r="Q69" s="22" t="inlineStr"/>
      <c r="R69" s="22" t="inlineStr"/>
      <c r="S69" s="19" t="inlineStr"/>
      <c r="T69" s="23" t="inlineStr">
        <is>
          <t>내조사(다나와84)</t>
        </is>
      </c>
      <c r="U69" s="23" t="inlineStr"/>
      <c r="V69" s="23" t="inlineStr"/>
    </row>
    <row r="70" ht="28" customHeight="1">
      <c r="A70" s="11" t="inlineStr">
        <is>
          <t>신일</t>
        </is>
      </c>
      <c r="B70" s="11" t="inlineStr">
        <is>
          <t>18L 제습기 / 신일 제습기</t>
        </is>
      </c>
      <c r="C70" s="12" t="inlineStr">
        <is>
          <t>SDH-SD19ERE</t>
        </is>
      </c>
      <c r="D70" s="13" t="n">
        <v>298000</v>
      </c>
      <c r="E70" s="14" t="inlineStr">
        <is>
          <t>https://search.danawa.com/dsearch.php?query=%EC%8B%A0%EC%9D%BC%20%EC%A0%9C%EC%8A%B5%EA%B8%B0</t>
        </is>
      </c>
      <c r="F70" s="14" t="inlineStr">
        <is>
          <t>https://www.coupang.com/np/search?q=SDH-SD19ERE</t>
        </is>
      </c>
      <c r="G70" s="15" t="n"/>
      <c r="H70" s="16">
        <f>IF(G70="","",ROUND(G70-D70-G70*0.1188-L70,0))</f>
        <v/>
      </c>
      <c r="I70" s="17">
        <f>IF(OR(G70="",G70=0),"",ROUND(H70/G70*100,1))</f>
        <v/>
      </c>
      <c r="J70" s="18">
        <f>IF(G70="","위너가필요",IF(H70&gt;=10,"✅마진OK","❌미달"))</f>
        <v/>
      </c>
      <c r="K70" s="16" t="n">
        <v>338175</v>
      </c>
      <c r="L70" s="19" t="n">
        <v>0</v>
      </c>
      <c r="M70" s="20" t="inlineStr">
        <is>
          <t>ohda 네이버페이</t>
        </is>
      </c>
      <c r="N70" s="20" t="inlineStr">
        <is>
          <t>2위:쿠팡=305,000원</t>
        </is>
      </c>
      <c r="O70" s="11" t="inlineStr">
        <is>
          <t>18</t>
        </is>
      </c>
      <c r="P70" s="21" t="n">
        <v>189</v>
      </c>
      <c r="Q70" s="22" t="inlineStr"/>
      <c r="R70" s="22" t="inlineStr"/>
      <c r="S70" s="19" t="inlineStr"/>
      <c r="T70" s="23" t="inlineStr">
        <is>
          <t>내조사(다나와84)</t>
        </is>
      </c>
      <c r="U70" s="23" t="inlineStr">
        <is>
          <t>[신호/리드, 검증 아님] 쿠팡 자체 리뷰 수·별점은 직접 확인 불가. 2차 자료 신호: (1) 다나와 가격비교에 등록되어 74개 이상 판매처가 잡히는 유통량 많은 모델 → 쿠팡 포함 대형몰 다수 입점 신호. (2) 2025년 6월경 등록된 최신형(2025년형)으로 여름 시즌 노출 상승. (3) GS SHOP·롯데ON·롯데아이몰·SSG·11번가 등 홈쇼핑/대형몰에 폭넓게 유통 → 브랜드 인지도 기반 판매 볼륨 신호. (4) 한 소형몰(오흐다)에서 별점 5.00·리뷰 3건 수준으로 표기 → 아직 개별 몰 리뷰 축적은 초기 단계일 가능성. 결론: '신일 18L 상부물통' 제습기 라인 전반은 쿠팡에서 인기 카테고리이나, 이 특정 SKU의 쿠팡 리뷰 다수 여부는 미확인 리드 상태.</t>
        </is>
      </c>
      <c r="V70" s="23" t="inlineStr">
        <is>
          <t>[신호/리드] 뚜렷한 반품·과장광고·불량 신고성 자료는 검색상 발견되지 않음(무신호). 잠재 위험 신호: (1) 성능/소음 — 신일 동급 17~18L 제품 후기에서 '내부건조(건조모드) 작동 시 소음·바람이 확실히 커진다'는 지적 반복 → 야간 사용 불만 소지. (2) 스펙 최저소음 50dB는 제습기 평균 대비 낮지 않아 소음 민감 구매자 클레임 가능. (3) 신일 브랜드 제습기 전반은 저가~중가 포지션으로 '가성비' 마케팅 문구(멋진 디자인+성능 강조 홍보성 기사 존재)가 많아 과장광고 체감 리스크 상존 → 실사용 제습량/체감 성능 기대치 관리 필요. 전반적으로 고위험 신호는 없으나 소음·건조모드가 주된 불만 벡터로 모니터링 권장.</t>
        </is>
      </c>
    </row>
    <row r="71" ht="28" customHeight="1">
      <c r="A71" s="11" t="inlineStr">
        <is>
          <t>위닉스</t>
        </is>
      </c>
      <c r="B71" s="11" t="inlineStr">
        <is>
          <t>10L 제습기 / 위닉스 제습기</t>
        </is>
      </c>
      <c r="C71" s="12" t="inlineStr">
        <is>
          <t>DXTC100-MMK</t>
        </is>
      </c>
      <c r="D71" s="13" t="n">
        <v>299000</v>
      </c>
      <c r="E71" s="14" t="inlineStr">
        <is>
          <t>https://search.danawa.com/dsearch.php?query=%EC%9C%84%EB%8B%89%EC%8A%A4%20%EC%A0%9C%EC%8A%B5%EA%B8%B0%2010L</t>
        </is>
      </c>
      <c r="F71" s="14" t="inlineStr">
        <is>
          <t>https://www.coupang.com/np/search?q=DXTC100-MMK</t>
        </is>
      </c>
      <c r="G71" s="15" t="n"/>
      <c r="H71" s="16">
        <f>IF(G71="","",ROUND(G71-D71-G71*0.1188-L71,0))</f>
        <v/>
      </c>
      <c r="I71" s="17">
        <f>IF(OR(G71="",G71=0),"",ROUND(H71/G71*100,1))</f>
        <v/>
      </c>
      <c r="J71" s="18">
        <f>IF(G71="","위너가필요",IF(H71&gt;=10,"✅마진OK","❌미달"))</f>
        <v/>
      </c>
      <c r="K71" s="16" t="n">
        <v>339310</v>
      </c>
      <c r="L71" s="19" t="n">
        <v>0</v>
      </c>
      <c r="M71" s="20" t="inlineStr">
        <is>
          <t>롯데홈쇼핑</t>
        </is>
      </c>
      <c r="N71" s="20" t="inlineStr">
        <is>
          <t>2위:옥션=300,200원 (G마켓도 동일 300,200원)</t>
        </is>
      </c>
      <c r="O71" s="11" t="inlineStr">
        <is>
          <t>10</t>
        </is>
      </c>
      <c r="P71" s="21" t="n">
        <v>3</v>
      </c>
      <c r="Q71" s="22" t="inlineStr"/>
      <c r="R71" s="22" t="inlineStr"/>
      <c r="S71" s="19" t="inlineStr"/>
      <c r="T71" s="23" t="inlineStr">
        <is>
          <t>내조사(다나와84)</t>
        </is>
      </c>
      <c r="U71" s="23" t="inlineStr"/>
      <c r="V71" s="23" t="inlineStr"/>
    </row>
    <row r="72" ht="28" customHeight="1">
      <c r="A72" s="11" t="inlineStr">
        <is>
          <t>캐리어</t>
        </is>
      </c>
      <c r="B72" s="11" t="inlineStr">
        <is>
          <t>20L 제습기 / 캐리어 제습기</t>
        </is>
      </c>
      <c r="C72" s="12" t="inlineStr">
        <is>
          <t>CDHC-200ACLWOYH</t>
        </is>
      </c>
      <c r="D72" s="13" t="n">
        <v>299000</v>
      </c>
      <c r="E72" s="14" t="inlineStr">
        <is>
          <t>https://search.danawa.com/dsearch.php?query=%EC%BA%90%EB%A6%AC%EC%96%B4%20%EC%A0%9C%EC%8A%B5%EA%B8%B0%2020L</t>
        </is>
      </c>
      <c r="F72" s="14" t="inlineStr">
        <is>
          <t>https://www.coupang.com/np/search?q=CDHC-200ACLWOYH</t>
        </is>
      </c>
      <c r="G72" s="15" t="n"/>
      <c r="H72" s="16">
        <f>IF(G72="","",ROUND(G72-D72-G72*0.1188-L72,0))</f>
        <v/>
      </c>
      <c r="I72" s="17">
        <f>IF(OR(G72="",G72=0),"",ROUND(H72/G72*100,1))</f>
        <v/>
      </c>
      <c r="J72" s="18">
        <f>IF(G72="","위너가필요",IF(H72&gt;=10,"✅마진OK","❌미달"))</f>
        <v/>
      </c>
      <c r="K72" s="16" t="n">
        <v>339310</v>
      </c>
      <c r="L72" s="19" t="n">
        <v>0</v>
      </c>
      <c r="M72" s="20" t="inlineStr">
        <is>
          <t>쿠팡</t>
        </is>
      </c>
      <c r="N72" s="20" t="inlineStr">
        <is>
          <t xml:space="preserve">⚠쿠팡이최저=마진X / 2위:캐리어정품인증점=299,000원 (쿠팡과 동일가 공동 최저), 그 다음 </t>
        </is>
      </c>
      <c r="O72" s="11" t="inlineStr">
        <is>
          <t>20</t>
        </is>
      </c>
      <c r="P72" s="21" t="n">
        <v>86</v>
      </c>
      <c r="Q72" s="22" t="inlineStr"/>
      <c r="R72" s="22" t="inlineStr"/>
      <c r="S72" s="19" t="inlineStr"/>
      <c r="T72" s="23" t="inlineStr">
        <is>
          <t>내조사(다나와84) + 업로드①마진계산 + 업로드워치리스트</t>
        </is>
      </c>
      <c r="U72" s="23" t="inlineStr">
        <is>
          <t>[신호/리드 — 확정 아님] 캐리어 2024년형 20L 1등급 제습기(CDHC-200ACLWOYH)는 쿠팡, 11번가, SSG, 롯데하이마트, 이마트몰, 캐리어몰 등 주요 유통 채널에 폭넓게 입점되어 있어 유통 노출도는 높음. 2차 자료(SSG 등)에서 유사/동일급 캐리어 20L 제습기가 쿠팡에서 별점 약 4.5점, 리뷰 약 163개 수준으로 언급됨 — 단 이 수치는 정확히 CDHC-200ACLWOYH 모델로 확정되지 않았고 유사 모델일 가능성이 있어 '리드'로만 취급해야 함. 노써치(nosearch)에서 이 모델을 실제 촬영·테스트 상품으로 선정한 정황이 있어 리뷰 미디어의 관심 대상임. 블로그 내돈내산 후기는 형번이 다른 자매모델(CDHC-200AYMAEYH)에 대한 것이라 직접 리뷰 신호로 보기 어려움. 종합: 인기·노출은 있으나 '이 정확한 형번'의 쿠팡 리뷰 규모는 2차 자료로 확증 불가.</t>
        </is>
      </c>
      <c r="V72" s="23" t="inlineStr">
        <is>
          <t>2차 자료에서 이 형번에 대한 구체적 반품·과장광고·성능불만 신호는 발견되지 않음(중립). 다만 (1) 리뷰 수치가 유사 모델과 혼재되어 소비자 오인 소지, (2) 소비전력 표기가 자료별로 310W/323W로 불일치해 스펙 과장·혼선 주의, (3) 2024 신제품이라 SSG 등에서 리뷰 0건 채널 존재 → 검증된 실사용 데이터 부족이 잠재 리스크. 성능불만/반품 관련 명시적 부정 신호는 현재 없음.</t>
        </is>
      </c>
    </row>
    <row r="73" ht="28" customHeight="1">
      <c r="A73" s="11" t="inlineStr">
        <is>
          <t>캐리어</t>
        </is>
      </c>
      <c r="B73" s="11" t="inlineStr">
        <is>
          <t>20L 제습기 / 캐리어 제습기</t>
        </is>
      </c>
      <c r="C73" s="12" t="inlineStr">
        <is>
          <t>CDHC-200AULLOXH</t>
        </is>
      </c>
      <c r="D73" s="13" t="n">
        <v>315180</v>
      </c>
      <c r="E73" s="14" t="inlineStr">
        <is>
          <t>https://search.danawa.com/dsearch.php?query=%EC%BA%90%EB%A6%AC%EC%96%B4%20%EC%A0%9C%EC%8A%B5%EA%B8%B0%2020L</t>
        </is>
      </c>
      <c r="F73" s="14" t="inlineStr">
        <is>
          <t>https://www.coupang.com/np/search?q=CDHC-200AULLOXH</t>
        </is>
      </c>
      <c r="G73" s="15" t="n"/>
      <c r="H73" s="16">
        <f>IF(G73="","",ROUND(G73-D73-G73*0.1188-L73,0))</f>
        <v/>
      </c>
      <c r="I73" s="17">
        <f>IF(OR(G73="",G73=0),"",ROUND(H73/G73*100,1))</f>
        <v/>
      </c>
      <c r="J73" s="18">
        <f>IF(G73="","위너가필요",IF(H73&gt;=10,"✅마진OK","❌미달"))</f>
        <v/>
      </c>
      <c r="K73" s="16" t="n">
        <v>357671</v>
      </c>
      <c r="L73" s="19" t="n">
        <v>0</v>
      </c>
      <c r="M73" s="20" t="inlineStr">
        <is>
          <t>롯데ON</t>
        </is>
      </c>
      <c r="N73" s="20" t="inlineStr">
        <is>
          <t>2위:11번가=316,140원</t>
        </is>
      </c>
      <c r="O73" s="11" t="inlineStr">
        <is>
          <t>20</t>
        </is>
      </c>
      <c r="P73" s="21" t="n">
        <v>47</v>
      </c>
      <c r="Q73" s="22" t="inlineStr"/>
      <c r="R73" s="22" t="inlineStr"/>
      <c r="S73" s="19" t="inlineStr"/>
      <c r="T73" s="23" t="inlineStr">
        <is>
          <t>내조사(다나와84)</t>
        </is>
      </c>
      <c r="U73" s="23" t="inlineStr"/>
      <c r="V73" s="23" t="inlineStr"/>
    </row>
    <row r="74" ht="28" customHeight="1">
      <c r="A74" s="11" t="inlineStr">
        <is>
          <t>캐리어</t>
        </is>
      </c>
      <c r="B74" s="11" t="inlineStr">
        <is>
          <t>20L 제습기 / 캐리어 제습기</t>
        </is>
      </c>
      <c r="C74" s="12" t="inlineStr">
        <is>
          <t>CDHC-200AOLLOXH</t>
        </is>
      </c>
      <c r="D74" s="13" t="n">
        <v>336000</v>
      </c>
      <c r="E74" s="14" t="inlineStr">
        <is>
          <t>https://search.danawa.com/dsearch.php?query=%EC%BA%90%EB%A6%AC%EC%96%B4%20%EC%A0%9C%EC%8A%B5%EA%B8%B0%2020L</t>
        </is>
      </c>
      <c r="F74" s="14" t="inlineStr">
        <is>
          <t>https://www.coupang.com/np/search?q=CDHC-200AOLLOXH</t>
        </is>
      </c>
      <c r="G74" s="15" t="n"/>
      <c r="H74" s="16">
        <f>IF(G74="","",ROUND(G74-D74-G74*0.1188-L74,0))</f>
        <v/>
      </c>
      <c r="I74" s="17">
        <f>IF(OR(G74="",G74=0),"",ROUND(H74/G74*100,1))</f>
        <v/>
      </c>
      <c r="J74" s="18">
        <f>IF(G74="","위너가필요",IF(H74&gt;=10,"✅마진OK","❌미달"))</f>
        <v/>
      </c>
      <c r="K74" s="16" t="n">
        <v>381298</v>
      </c>
      <c r="L74" s="19" t="n">
        <v>0</v>
      </c>
      <c r="M74" s="20" t="inlineStr">
        <is>
          <t>롯데ON</t>
        </is>
      </c>
      <c r="N74" s="20" t="inlineStr">
        <is>
          <t>2위:쿠팡=339,000원</t>
        </is>
      </c>
      <c r="O74" s="11" t="inlineStr">
        <is>
          <t>20</t>
        </is>
      </c>
      <c r="P74" s="21" t="n">
        <v>25</v>
      </c>
      <c r="Q74" s="22" t="inlineStr"/>
      <c r="R74" s="22" t="inlineStr"/>
      <c r="S74" s="19" t="inlineStr"/>
      <c r="T74" s="23" t="inlineStr">
        <is>
          <t>내조사(다나와84)</t>
        </is>
      </c>
      <c r="U74" s="23" t="inlineStr"/>
      <c r="V74" s="23" t="inlineStr"/>
    </row>
    <row r="75" ht="28" customHeight="1">
      <c r="A75" s="11" t="inlineStr">
        <is>
          <t>위닉스</t>
        </is>
      </c>
      <c r="B75" s="11" t="inlineStr">
        <is>
          <t>16L 제습기 / 위닉스 제습기</t>
        </is>
      </c>
      <c r="C75" s="12" t="inlineStr">
        <is>
          <t>DN2W160-KWK</t>
        </is>
      </c>
      <c r="D75" s="13" t="n">
        <v>339000</v>
      </c>
      <c r="E75" s="14" t="inlineStr">
        <is>
          <t>https://search.danawa.com/dsearch.php?query=%EC%9C%84%EB%8B%89%EC%8A%A4%20%EB%BD%80%EC%86%A1%2016L%20%EC%A0%9C%EC%8A%B5%EA%B8%B0</t>
        </is>
      </c>
      <c r="F75" s="14" t="inlineStr">
        <is>
          <t>https://www.coupang.com/np/search?q=DN2W160-KWK</t>
        </is>
      </c>
      <c r="G75" s="15" t="n"/>
      <c r="H75" s="16">
        <f>IF(G75="","",ROUND(G75-D75-G75*0.1188-L75,0))</f>
        <v/>
      </c>
      <c r="I75" s="17">
        <f>IF(OR(G75="",G75=0),"",ROUND(H75/G75*100,1))</f>
        <v/>
      </c>
      <c r="J75" s="18">
        <f>IF(G75="","위너가필요",IF(H75&gt;=10,"✅마진OK","❌미달"))</f>
        <v/>
      </c>
      <c r="K75" s="16" t="n">
        <v>384703</v>
      </c>
      <c r="L75" s="19" t="n">
        <v>0</v>
      </c>
      <c r="M75" s="20" t="inlineStr">
        <is>
          <t>쿠팡</t>
        </is>
      </c>
      <c r="N75" s="20" t="inlineStr">
        <is>
          <t>⚠쿠팡이최저=마진X / 2위:G마켓=418,210원</t>
        </is>
      </c>
      <c r="O75" s="11" t="inlineStr">
        <is>
          <t>16</t>
        </is>
      </c>
      <c r="P75" s="21" t="n">
        <v>47</v>
      </c>
      <c r="Q75" s="22" t="inlineStr"/>
      <c r="R75" s="22" t="inlineStr"/>
      <c r="S75" s="19" t="inlineStr"/>
      <c r="T75" s="23" t="inlineStr">
        <is>
          <t>내조사(다나와84)</t>
        </is>
      </c>
      <c r="U75" s="23" t="inlineStr"/>
      <c r="V75" s="23" t="inlineStr"/>
    </row>
    <row r="76" ht="28" customHeight="1">
      <c r="A76" s="11" t="inlineStr">
        <is>
          <t>캐리어</t>
        </is>
      </c>
      <c r="B76" s="11" t="inlineStr">
        <is>
          <t>34L 제습기 / 캐리어 제습기</t>
        </is>
      </c>
      <c r="C76" s="12" t="inlineStr">
        <is>
          <t>CDHC-340AAMWOYH</t>
        </is>
      </c>
      <c r="D76" s="13" t="n">
        <v>340090</v>
      </c>
      <c r="E76" s="14" t="inlineStr">
        <is>
          <t>https://prod.danawa.com/info/?pcode=47839172</t>
        </is>
      </c>
      <c r="F76" s="14" t="inlineStr">
        <is>
          <t>https://www.coupang.com/np/search?q=CDHC-340AAMWOYH</t>
        </is>
      </c>
      <c r="G76" s="15" t="n"/>
      <c r="H76" s="16">
        <f>IF(G76="","",ROUND(G76-D76-G76*0.1188-L76,0))</f>
        <v/>
      </c>
      <c r="I76" s="17">
        <f>IF(OR(G76="",G76=0),"",ROUND(H76/G76*100,1))</f>
        <v/>
      </c>
      <c r="J76" s="18">
        <f>IF(G76="","위너가필요",IF(H76&gt;=10,"✅마진OK","❌미달"))</f>
        <v/>
      </c>
      <c r="K76" s="16" t="n">
        <v>385940</v>
      </c>
      <c r="L76" s="19" t="n">
        <v>0</v>
      </c>
      <c r="M76" s="20" t="inlineStr"/>
      <c r="N76" s="20" t="inlineStr"/>
      <c r="O76" s="11" t="n">
        <v>34</v>
      </c>
      <c r="P76" s="21" t="inlineStr"/>
      <c r="Q76" s="22" t="inlineStr"/>
      <c r="R76" s="22" t="inlineStr"/>
      <c r="S76" s="19" t="inlineStr"/>
      <c r="T76" s="23" t="inlineStr">
        <is>
          <t>업로드①마진계산 + 업로드워치리스트</t>
        </is>
      </c>
      <c r="U76" s="23" t="inlineStr"/>
      <c r="V76" s="23" t="inlineStr">
        <is>
          <t>34L 대용량·중량물(19kg). 택배·파손위험 큼, 회전 느림</t>
        </is>
      </c>
    </row>
    <row r="77" ht="28" customHeight="1">
      <c r="A77" s="11" t="inlineStr">
        <is>
          <t>LG전자</t>
        </is>
      </c>
      <c r="B77" s="11" t="inlineStr">
        <is>
          <t>13L 제습기 / LG전자 제습기</t>
        </is>
      </c>
      <c r="C77" s="12" t="inlineStr">
        <is>
          <t>DQ134MWEC</t>
        </is>
      </c>
      <c r="D77" s="13" t="n">
        <v>353870</v>
      </c>
      <c r="E77" s="14" t="inlineStr">
        <is>
          <t>https://prod.danawa.com/info/?pcode=57504947</t>
        </is>
      </c>
      <c r="F77" s="14" t="inlineStr">
        <is>
          <t>https://www.coupang.com/np/search?q=DQ134MWEC</t>
        </is>
      </c>
      <c r="G77" s="15" t="n"/>
      <c r="H77" s="16">
        <f>IF(G77="","",ROUND(G77-D77-G77*0.1188-L77,0))</f>
        <v/>
      </c>
      <c r="I77" s="17">
        <f>IF(OR(G77="",G77=0),"",ROUND(H77/G77*100,1))</f>
        <v/>
      </c>
      <c r="J77" s="18">
        <f>IF(G77="","위너가필요",IF(H77&gt;=10,"✅마진OK","❌미달"))</f>
        <v/>
      </c>
      <c r="K77" s="16" t="n">
        <v>401577</v>
      </c>
      <c r="L77" s="19" t="n">
        <v>0</v>
      </c>
      <c r="M77" s="20" t="inlineStr"/>
      <c r="N77" s="20" t="inlineStr"/>
      <c r="O77" s="11" t="n">
        <v>13</v>
      </c>
      <c r="P77" s="21" t="inlineStr"/>
      <c r="Q77" s="22" t="inlineStr"/>
      <c r="R77" s="22" t="inlineStr"/>
      <c r="S77" s="19" t="inlineStr"/>
      <c r="T77" s="23" t="inlineStr">
        <is>
          <t>업로드①마진계산</t>
        </is>
      </c>
      <c r="U77" s="23" t="inlineStr"/>
      <c r="V77" s="23" t="inlineStr">
        <is>
          <t>LG 인기13L. 공식가 통제 강함·위너 로켓/판매자로켓 가능성—마진 얇음 주의</t>
        </is>
      </c>
    </row>
    <row r="78" ht="28" customHeight="1">
      <c r="A78" s="11" t="inlineStr">
        <is>
          <t>위닉스</t>
        </is>
      </c>
      <c r="B78" s="11" t="inlineStr">
        <is>
          <t>21L 제습기 / 위닉스 제습기</t>
        </is>
      </c>
      <c r="C78" s="12" t="inlineStr">
        <is>
          <t>DXWE210-NGK</t>
        </is>
      </c>
      <c r="D78" s="13" t="n">
        <v>380550</v>
      </c>
      <c r="E78" s="14" t="inlineStr">
        <is>
          <t>https://prod.danawa.com/info/?pcode=43491230</t>
        </is>
      </c>
      <c r="F78" s="14" t="inlineStr">
        <is>
          <t>https://www.coupang.com/np/search?q=DXWE210-NGK</t>
        </is>
      </c>
      <c r="G78" s="15" t="n"/>
      <c r="H78" s="16">
        <f>IF(G78="","",ROUND(G78-D78-G78*0.1188-L78,0))</f>
        <v/>
      </c>
      <c r="I78" s="17">
        <f>IF(OR(G78="",G78=0),"",ROUND(H78/G78*100,1))</f>
        <v/>
      </c>
      <c r="J78" s="18">
        <f>IF(G78="","위너가필요",IF(H78&gt;=10,"✅마진OK","❌미달"))</f>
        <v/>
      </c>
      <c r="K78" s="16" t="n">
        <v>431854</v>
      </c>
      <c r="L78" s="19" t="n">
        <v>0</v>
      </c>
      <c r="M78" s="20" t="inlineStr"/>
      <c r="N78" s="20" t="inlineStr"/>
      <c r="O78" s="11" t="n">
        <v>21</v>
      </c>
      <c r="P78" s="21" t="inlineStr"/>
      <c r="Q78" s="22" t="inlineStr"/>
      <c r="R78" s="22" t="inlineStr"/>
      <c r="S78" s="19" t="inlineStr"/>
      <c r="T78" s="23" t="inlineStr">
        <is>
          <t>업로드①마진계산 + 업로드워치리스트</t>
        </is>
      </c>
      <c r="U78" s="23" t="inlineStr"/>
      <c r="V78" s="23" t="inlineStr">
        <is>
          <t>위닉스 21L 대형. 리뷰153·다나와 38만</t>
        </is>
      </c>
    </row>
    <row r="79" ht="28" customHeight="1">
      <c r="A79" s="11" t="inlineStr">
        <is>
          <t>위닉스</t>
        </is>
      </c>
      <c r="B79" s="11" t="inlineStr">
        <is>
          <t>16L 제습기 / 위닉스 제습기</t>
        </is>
      </c>
      <c r="C79" s="12" t="inlineStr">
        <is>
          <t>DN2H160-IWK</t>
        </is>
      </c>
      <c r="D79" s="13" t="n">
        <v>382890</v>
      </c>
      <c r="E79" s="14" t="inlineStr">
        <is>
          <t>https://search.danawa.com/dsearch.php?query=%EC%9C%84%EB%8B%89%EC%8A%A4%20%EB%BD%80%EC%86%A1%2016L%20%EC%A0%9C%EC%8A%B5%EA%B8%B0</t>
        </is>
      </c>
      <c r="F79" s="14" t="inlineStr">
        <is>
          <t>https://www.coupang.com/np/search?q=DN2H160-IWK</t>
        </is>
      </c>
      <c r="G79" s="15" t="n"/>
      <c r="H79" s="16">
        <f>IF(G79="","",ROUND(G79-D79-G79*0.1188-L79,0))</f>
        <v/>
      </c>
      <c r="I79" s="17">
        <f>IF(OR(G79="",G79=0),"",ROUND(H79/G79*100,1))</f>
        <v/>
      </c>
      <c r="J79" s="18">
        <f>IF(G79="","위너가필요",IF(H79&gt;=10,"✅마진OK","❌미달"))</f>
        <v/>
      </c>
      <c r="K79" s="16" t="n">
        <v>434510</v>
      </c>
      <c r="L79" s="19" t="n">
        <v>0</v>
      </c>
      <c r="M79" s="20" t="inlineStr">
        <is>
          <t>11번가</t>
        </is>
      </c>
      <c r="N79" s="20" t="inlineStr">
        <is>
          <t>2위:로켓종합가전(네이버페이)=384,000원</t>
        </is>
      </c>
      <c r="O79" s="11" t="inlineStr">
        <is>
          <t>16</t>
        </is>
      </c>
      <c r="P79" s="21" t="n">
        <v>74</v>
      </c>
      <c r="Q79" s="22" t="inlineStr"/>
      <c r="R79" s="22" t="inlineStr"/>
      <c r="S79" s="19" t="inlineStr"/>
      <c r="T79" s="23" t="inlineStr">
        <is>
          <t>내조사(다나와84)</t>
        </is>
      </c>
      <c r="U79" s="23" t="inlineStr"/>
      <c r="V79" s="23" t="inlineStr"/>
    </row>
    <row r="80" ht="28" customHeight="1">
      <c r="A80" s="11" t="inlineStr">
        <is>
          <t>LG전자</t>
        </is>
      </c>
      <c r="B80" s="11" t="inlineStr">
        <is>
          <t>20L 제습기 / LG전자 제습기</t>
        </is>
      </c>
      <c r="C80" s="12" t="inlineStr">
        <is>
          <t>DQ205PBBC</t>
        </is>
      </c>
      <c r="D80" s="13" t="n">
        <v>398500</v>
      </c>
      <c r="E80" s="14" t="inlineStr">
        <is>
          <t>https://search.danawa.com/dsearch.php?query=LG%20%ED%9C%98%EC%84%BC%20%EC%A0%9C%EC%8A%B5%EA%B8%B0</t>
        </is>
      </c>
      <c r="F80" s="14" t="inlineStr">
        <is>
          <t>https://www.coupang.com/np/search?q=DQ205PBBC</t>
        </is>
      </c>
      <c r="G80" s="15" t="n"/>
      <c r="H80" s="16">
        <f>IF(G80="","",ROUND(G80-D80-G80*0.1188-L80,0))</f>
        <v/>
      </c>
      <c r="I80" s="17">
        <f>IF(OR(G80="",G80=0),"",ROUND(H80/G80*100,1))</f>
        <v/>
      </c>
      <c r="J80" s="18">
        <f>IF(G80="","위너가필요",IF(H80&gt;=10,"✅마진OK","❌미달"))</f>
        <v/>
      </c>
      <c r="K80" s="16" t="n">
        <v>452224</v>
      </c>
      <c r="L80" s="19" t="n">
        <v>0</v>
      </c>
      <c r="M80" s="20" t="inlineStr">
        <is>
          <t>11번가</t>
        </is>
      </c>
      <c r="N80" s="20" t="inlineStr">
        <is>
          <t>2위:옥션=401,180원</t>
        </is>
      </c>
      <c r="O80" s="11" t="inlineStr">
        <is>
          <t>20</t>
        </is>
      </c>
      <c r="P80" s="21" t="n">
        <v>675</v>
      </c>
      <c r="Q80" s="22" t="inlineStr"/>
      <c r="R80" s="22" t="inlineStr"/>
      <c r="S80" s="19" t="inlineStr"/>
      <c r="T80" s="23" t="inlineStr">
        <is>
          <t>내조사(다나와84) + 업로드①마진계산 + 업로드워치리스트</t>
        </is>
      </c>
      <c r="U80" s="23" t="inlineStr">
        <is>
          <t>[신호/리드 — 확정 아님] 쿠팡 자체 판매량·리뷰 수를 직접 확인할 수 있는 2차 자료는 검색되지 않음. 다만 2차 자료 전반에서 인기 신호는 강함: (1) IT블로그·유튜브에서 '30평대 제습기 추천' 콘텐츠 다수 존재하며 리뷰 활발. (2) 네이버 스마트스토어 기준 '7,000개 넘는 리뷰 / 평점 4.91' 언급이 반복됨(※네이버 수치이며 쿠팡 수치 아님 — 혼동 주의). (3) 11번가·롯데몰·다나와 등 다수 오픈마켓 동시 판매되는 주력 판매 모델 → 쿠팡에서도 리뷰 다수 축적된 인기 모델일 개연성 높음. 결론: '쿠팡 인기 리드'로 분류 가능하나, 쿠팡 리뷰 수/랭킹은 미검증.</t>
        </is>
      </c>
      <c r="V80" s="23" t="inlineStr">
        <is>
          <t>중대한 위험 신호는 낮음. 다만 소싱 시 주의점: (1) 무게 약 16.7kg으로 무거워 '단차/계단 이동 불편' 불만 반복 → 배송·설치 관련 클레임 소지. (2) 일부 후기에서 '켜놓고 다른 일 하기엔 시끄럽다'는 소음 불만 존재(제조사·다수 후기는 '조용함' 강조와 상충 → 저소음 과장광고 리스크 잠재). (3) 연속배수 호스가 별도 구매품인데 이를 기본 포함으로 오인할 소지 → 구성품 관련 반품/클레임 주의. 반품·불량 관련 직접적 대량 신호는 발견되지 않음.</t>
        </is>
      </c>
    </row>
    <row r="81" ht="28" customHeight="1">
      <c r="A81" s="11" t="inlineStr">
        <is>
          <t>위닉스</t>
        </is>
      </c>
      <c r="B81" s="11" t="inlineStr">
        <is>
          <t>16L 제습기 / 위닉스 제습기</t>
        </is>
      </c>
      <c r="C81" s="12" t="inlineStr">
        <is>
          <t>DO2E160-HWK</t>
        </is>
      </c>
      <c r="D81" s="13" t="n">
        <v>402490</v>
      </c>
      <c r="E81" s="14" t="inlineStr">
        <is>
          <t>https://search.danawa.com/dsearch.php?query=%EC%9C%84%EB%8B%89%EC%8A%A4%20%EB%BD%80%EC%86%A1%2016L%20%EC%A0%9C%EC%8A%B5%EA%B8%B0</t>
        </is>
      </c>
      <c r="F81" s="14" t="inlineStr">
        <is>
          <t>https://www.coupang.com/np/search?q=DO2E160-HWK</t>
        </is>
      </c>
      <c r="G81" s="15" t="n"/>
      <c r="H81" s="16">
        <f>IF(G81="","",ROUND(G81-D81-G81*0.1188-L81,0))</f>
        <v/>
      </c>
      <c r="I81" s="17">
        <f>IF(OR(G81="",G81=0),"",ROUND(H81/G81*100,1))</f>
        <v/>
      </c>
      <c r="J81" s="18">
        <f>IF(G81="","위너가필요",IF(H81&gt;=10,"✅마진OK","❌미달"))</f>
        <v/>
      </c>
      <c r="K81" s="16" t="n">
        <v>456752</v>
      </c>
      <c r="L81" s="19" t="n">
        <v>0</v>
      </c>
      <c r="M81" s="20" t="inlineStr">
        <is>
          <t>쿠팡</t>
        </is>
      </c>
      <c r="N81" s="20" t="inlineStr">
        <is>
          <t>⚠쿠팡이최저=마진X / 2위:없음 (다나와 오픈마켓·제휴몰 판매처 목록이 비어 있어 2위 국내 판매처</t>
        </is>
      </c>
      <c r="O81" s="11" t="inlineStr">
        <is>
          <t>16</t>
        </is>
      </c>
      <c r="P81" s="21" t="n">
        <v>7</v>
      </c>
      <c r="Q81" s="22" t="inlineStr"/>
      <c r="R81" s="22" t="inlineStr"/>
      <c r="S81" s="19" t="inlineStr"/>
      <c r="T81" s="23" t="inlineStr">
        <is>
          <t>내조사(다나와84)</t>
        </is>
      </c>
      <c r="U81" s="23" t="inlineStr"/>
      <c r="V81" s="23" t="inlineStr"/>
    </row>
    <row r="82" ht="28" customHeight="1">
      <c r="A82" s="11" t="inlineStr">
        <is>
          <t>쿠쿠</t>
        </is>
      </c>
      <c r="B82" s="11" t="inlineStr">
        <is>
          <t>22L 제습기 / 쿠쿠 제습기</t>
        </is>
      </c>
      <c r="C82" s="12" t="inlineStr">
        <is>
          <t>DH-X22721EB</t>
        </is>
      </c>
      <c r="D82" s="13" t="n">
        <v>406990</v>
      </c>
      <c r="E82" s="14" t="inlineStr">
        <is>
          <t>https://search.danawa.com/dsearch.php?query=%EC%BF%A0%EC%BF%A0%20%EC%A0%9C%EC%8A%B5%EA%B8%B0</t>
        </is>
      </c>
      <c r="F82" s="14" t="inlineStr">
        <is>
          <t>https://www.coupang.com/np/search?q=DH-X22721EB</t>
        </is>
      </c>
      <c r="G82" s="15" t="n"/>
      <c r="H82" s="16">
        <f>IF(G82="","",ROUND(G82-D82-G82*0.1188-L82,0))</f>
        <v/>
      </c>
      <c r="I82" s="17">
        <f>IF(OR(G82="",G82=0),"",ROUND(H82/G82*100,1))</f>
        <v/>
      </c>
      <c r="J82" s="18">
        <f>IF(G82="","위너가필요",IF(H82&gt;=10,"✅마진OK","❌미달"))</f>
        <v/>
      </c>
      <c r="K82" s="16" t="n">
        <v>461859</v>
      </c>
      <c r="L82" s="19" t="n">
        <v>0</v>
      </c>
      <c r="M82" s="20" t="inlineStr">
        <is>
          <t>11번가</t>
        </is>
      </c>
      <c r="N82" s="20" t="inlineStr">
        <is>
          <t>2위:옥션=407,620원</t>
        </is>
      </c>
      <c r="O82" s="11" t="inlineStr">
        <is>
          <t>21.7</t>
        </is>
      </c>
      <c r="P82" s="21" t="n">
        <v>25</v>
      </c>
      <c r="Q82" s="22" t="inlineStr"/>
      <c r="R82" s="22" t="inlineStr"/>
      <c r="S82" s="19" t="inlineStr"/>
      <c r="T82" s="23" t="inlineStr">
        <is>
          <t>내조사(다나와84)</t>
        </is>
      </c>
      <c r="U82" s="23" t="inlineStr"/>
      <c r="V82" s="23" t="inlineStr"/>
    </row>
    <row r="83" ht="28" customHeight="1">
      <c r="A83" s="11" t="inlineStr">
        <is>
          <t>위닉스</t>
        </is>
      </c>
      <c r="B83" s="11" t="inlineStr">
        <is>
          <t>20L 제습기 / 위닉스 제습기</t>
        </is>
      </c>
      <c r="C83" s="12" t="inlineStr">
        <is>
          <t>DXWE200-OEK</t>
        </is>
      </c>
      <c r="D83" s="13" t="n">
        <v>411260</v>
      </c>
      <c r="E83" s="14" t="inlineStr">
        <is>
          <t>https://search.danawa.com/dsearch.php?query=%EC%9C%84%EB%8B%89%EC%8A%A4%20%EC%A0%9C%EC%8A%B5%EA%B8%B0%2020L</t>
        </is>
      </c>
      <c r="F83" s="14" t="inlineStr">
        <is>
          <t>https://www.coupang.com/np/search?q=DXWE200-OEK</t>
        </is>
      </c>
      <c r="G83" s="15" t="n"/>
      <c r="H83" s="16">
        <f>IF(G83="","",ROUND(G83-D83-G83*0.1188-L83,0))</f>
        <v/>
      </c>
      <c r="I83" s="17">
        <f>IF(OR(G83="",G83=0),"",ROUND(H83/G83*100,1))</f>
        <v/>
      </c>
      <c r="J83" s="18">
        <f>IF(G83="","위너가필요",IF(H83&gt;=10,"✅마진OK","❌미달"))</f>
        <v/>
      </c>
      <c r="K83" s="16" t="n">
        <v>466704</v>
      </c>
      <c r="L83" s="19" t="n">
        <v>0</v>
      </c>
      <c r="M83" s="20" t="inlineStr">
        <is>
          <t>쿠팡</t>
        </is>
      </c>
      <c r="N83" s="20" t="inlineStr">
        <is>
          <t>⚠쿠팡이최저=마진X / 2위:11번가=411,260원</t>
        </is>
      </c>
      <c r="O83" s="11" t="inlineStr">
        <is>
          <t>20</t>
        </is>
      </c>
      <c r="P83" s="21" t="n">
        <v>190</v>
      </c>
      <c r="Q83" s="22" t="inlineStr"/>
      <c r="R83" s="22" t="inlineStr"/>
      <c r="S83" s="19" t="inlineStr"/>
      <c r="T83" s="23" t="inlineStr">
        <is>
          <t>내조사(다나와84)</t>
        </is>
      </c>
      <c r="U83" s="23" t="inlineStr">
        <is>
          <t>[신호/리드 - 확정 아님] 2차 자료(다나와/에누리/무신사/블로그/유튜브) 기준으로 이 모델은 위닉스 제습기 라인업의 대표 '으뜸효율환급 1등급 20L 인버터' 주력 모델로 다뤄지며, 2025년 제습기 추천글·유튜브 리뷰 TOP5 등에 반복 등장해 인기·노출도가 높은 편으로 보임. 한 검색 요약에서 '별점 4.8, 리뷰 224개'라는 수치가 언급되었으나 어느 쇼핑몰(쿠팡 여부 불명) 기준인지 출처가 특정되지 않아 확정 리뷰 수로 신뢰 불가 → 리드로만 취급. 쿠팡에는 위닉스 공식 브랜드샵이 존재하고 가격대는 약 44만~59만원대로 파악됨. 종합: 쿠팡에서도 어느 정도 판매·리뷰가 형성된 인기 모델일 '가능성'이 높다는 신호이나, 실제 쿠팡 리뷰 수/평점은 직접 미확인.</t>
        </is>
      </c>
      <c r="V83" s="23" t="inlineStr">
        <is>
          <t>[신호 약함] 이 모델 특정 반품/과장광고/성능불만 후기는 2차 자료에서 뚜렷이 발견되지 않음. 일반적 제습기 공통 불만으로 '물통을 자주 비워야 함'이 유사 위닉스 모델 후기에서 지적되나, 본 모델은 6.3L 대용량+연속배수 지원이라 상대적으로 완화됨. 마케팅 문구('전기세 부담 적음','저소음 33.5dB','뽀송')는 홍보성 표현으로 실사용 검증 필요. DXWE200-OEK 전용 단점 상세 블로그가 드물어 위험 신호 데이터 자체가 부족함(정보 공백에 유의).</t>
        </is>
      </c>
    </row>
    <row r="84" ht="28" customHeight="1">
      <c r="A84" s="11" t="inlineStr">
        <is>
          <t>LG전자</t>
        </is>
      </c>
      <c r="B84" s="11" t="inlineStr">
        <is>
          <t>13L 제습기 / LG전자 제습기</t>
        </is>
      </c>
      <c r="C84" s="12" t="inlineStr">
        <is>
          <t>DQ132PWXC</t>
        </is>
      </c>
      <c r="D84" s="13" t="n">
        <v>417130</v>
      </c>
      <c r="E84" s="14" t="inlineStr">
        <is>
          <t>https://search.danawa.com/dsearch.php?query=LG%20%ED%9C%98%EC%84%BC%20%EC%A0%9C%EC%8A%B5%EA%B8%B0</t>
        </is>
      </c>
      <c r="F84" s="14" t="inlineStr">
        <is>
          <t>https://www.coupang.com/np/search?q=DQ132PWXC</t>
        </is>
      </c>
      <c r="G84" s="15" t="n"/>
      <c r="H84" s="16">
        <f>IF(G84="","",ROUND(G84-D84-G84*0.1188-L84,0))</f>
        <v/>
      </c>
      <c r="I84" s="17">
        <f>IF(OR(G84="",G84=0),"",ROUND(H84/G84*100,1))</f>
        <v/>
      </c>
      <c r="J84" s="18">
        <f>IF(G84="","위너가필요",IF(H84&gt;=10,"✅마진OK","❌미달"))</f>
        <v/>
      </c>
      <c r="K84" s="16" t="n">
        <v>473366</v>
      </c>
      <c r="L84" s="19" t="n">
        <v>0</v>
      </c>
      <c r="M84" s="20" t="inlineStr">
        <is>
          <t>SSG.COM</t>
        </is>
      </c>
      <c r="N84" s="20" t="inlineStr">
        <is>
          <t>2위:옥션=419,070원</t>
        </is>
      </c>
      <c r="O84" s="11" t="inlineStr">
        <is>
          <t>13</t>
        </is>
      </c>
      <c r="P84" s="21" t="n">
        <v>31</v>
      </c>
      <c r="Q84" s="22" t="inlineStr"/>
      <c r="R84" s="22" t="inlineStr"/>
      <c r="S84" s="19" t="inlineStr"/>
      <c r="T84" s="23" t="inlineStr">
        <is>
          <t>내조사(다나와84)</t>
        </is>
      </c>
      <c r="U84" s="23" t="inlineStr"/>
      <c r="V84" s="23" t="inlineStr"/>
    </row>
    <row r="85" ht="28" customHeight="1">
      <c r="A85" s="11" t="inlineStr">
        <is>
          <t>삼성전자</t>
        </is>
      </c>
      <c r="B85" s="11" t="inlineStr">
        <is>
          <t>18L 제습기 / 삼성전자 제습기</t>
        </is>
      </c>
      <c r="C85" s="12" t="inlineStr">
        <is>
          <t>AY70H18100GTD</t>
        </is>
      </c>
      <c r="D85" s="13" t="n">
        <v>418990</v>
      </c>
      <c r="E85" s="14" t="inlineStr">
        <is>
          <t>https://prod.danawa.com/info/?pcode=122726458</t>
        </is>
      </c>
      <c r="F85" s="14" t="inlineStr">
        <is>
          <t>https://www.coupang.com/np/search?q=AY70H18100GTD</t>
        </is>
      </c>
      <c r="G85" s="15" t="n"/>
      <c r="H85" s="16">
        <f>IF(G85="","",ROUND(G85-D85-G85*0.1188-L85,0))</f>
        <v/>
      </c>
      <c r="I85" s="17">
        <f>IF(OR(G85="",G85=0),"",ROUND(H85/G85*100,1))</f>
        <v/>
      </c>
      <c r="J85" s="18">
        <f>IF(G85="","위너가필요",IF(H85&gt;=10,"✅마진OK","❌미달"))</f>
        <v/>
      </c>
      <c r="K85" s="16" t="n">
        <v>475477</v>
      </c>
      <c r="L85" s="19" t="n">
        <v>0</v>
      </c>
      <c r="M85" s="20" t="inlineStr"/>
      <c r="N85" s="20" t="inlineStr"/>
      <c r="O85" s="11" t="n">
        <v>18</v>
      </c>
      <c r="P85" s="21" t="inlineStr"/>
      <c r="Q85" s="22" t="inlineStr"/>
      <c r="R85" s="22" t="inlineStr"/>
      <c r="S85" s="19" t="inlineStr"/>
      <c r="T85" s="23" t="inlineStr">
        <is>
          <t>업로드①마진계산</t>
        </is>
      </c>
      <c r="U85" s="23" t="inlineStr"/>
      <c r="V85" s="23" t="inlineStr">
        <is>
          <t>GTD색상. 일반몰 최저 41.9만</t>
        </is>
      </c>
    </row>
    <row r="86" ht="28" customHeight="1">
      <c r="A86" s="11" t="inlineStr">
        <is>
          <t>위닉스</t>
        </is>
      </c>
      <c r="B86" s="11" t="inlineStr">
        <is>
          <t>16L 제습기 / 위닉스 제습기</t>
        </is>
      </c>
      <c r="C86" s="12" t="inlineStr">
        <is>
          <t>DO2W160-IWK</t>
        </is>
      </c>
      <c r="D86" s="13" t="n">
        <v>421000</v>
      </c>
      <c r="E86" s="14" t="inlineStr">
        <is>
          <t>https://search.danawa.com/dsearch.php?query=%EC%9C%84%EB%8B%89%EC%8A%A4%20%EB%BD%80%EC%86%A1%2016L%20%EC%A0%9C%EC%8A%B5%EA%B8%B0</t>
        </is>
      </c>
      <c r="F86" s="14" t="inlineStr">
        <is>
          <t>https://www.coupang.com/np/search?q=DO2W160-IWK</t>
        </is>
      </c>
      <c r="G86" s="15" t="n"/>
      <c r="H86" s="16">
        <f>IF(G86="","",ROUND(G86-D86-G86*0.1188-L86,0))</f>
        <v/>
      </c>
      <c r="I86" s="17">
        <f>IF(OR(G86="",G86=0),"",ROUND(H86/G86*100,1))</f>
        <v/>
      </c>
      <c r="J86" s="18">
        <f>IF(G86="","위너가필요",IF(H86&gt;=10,"✅마진OK","❌미달"))</f>
        <v/>
      </c>
      <c r="K86" s="16" t="n">
        <v>477758</v>
      </c>
      <c r="L86" s="19" t="n">
        <v>0</v>
      </c>
      <c r="M86" s="20" t="inlineStr">
        <is>
          <t>HI마트 네이버페이</t>
        </is>
      </c>
      <c r="N86" s="20" t="inlineStr">
        <is>
          <t>2위:옥션=530,700원</t>
        </is>
      </c>
      <c r="O86" s="11" t="inlineStr">
        <is>
          <t>16</t>
        </is>
      </c>
      <c r="P86" s="21" t="n">
        <v>6</v>
      </c>
      <c r="Q86" s="22" t="inlineStr"/>
      <c r="R86" s="22" t="inlineStr"/>
      <c r="S86" s="19" t="inlineStr"/>
      <c r="T86" s="23" t="inlineStr">
        <is>
          <t>내조사(다나와84)</t>
        </is>
      </c>
      <c r="U86" s="23" t="inlineStr"/>
      <c r="V86" s="23" t="inlineStr"/>
    </row>
    <row r="87" ht="28" customHeight="1">
      <c r="A87" s="11" t="inlineStr">
        <is>
          <t>LG전자</t>
        </is>
      </c>
      <c r="B87" s="11" t="inlineStr">
        <is>
          <t>20L 제습기 / LG전자 제습기</t>
        </is>
      </c>
      <c r="C87" s="12" t="inlineStr">
        <is>
          <t>DQ202PSUA</t>
        </is>
      </c>
      <c r="D87" s="13" t="n">
        <v>429090</v>
      </c>
      <c r="E87" s="14" t="inlineStr">
        <is>
          <t>https://search.danawa.com/dsearch.php?query=LG%20%ED%9C%98%EC%84%BC%20%EC%A0%9C%EC%8A%B5%EA%B8%B0</t>
        </is>
      </c>
      <c r="F87" s="14" t="inlineStr">
        <is>
          <t>https://www.coupang.com/np/search?q=DQ202PSUA</t>
        </is>
      </c>
      <c r="G87" s="15" t="n"/>
      <c r="H87" s="16">
        <f>IF(G87="","",ROUND(G87-D87-G87*0.1188-L87,0))</f>
        <v/>
      </c>
      <c r="I87" s="17">
        <f>IF(OR(G87="",G87=0),"",ROUND(H87/G87*100,1))</f>
        <v/>
      </c>
      <c r="J87" s="18">
        <f>IF(G87="","위너가필요",IF(H87&gt;=10,"✅마진OK","❌미달"))</f>
        <v/>
      </c>
      <c r="K87" s="16" t="n">
        <v>486938</v>
      </c>
      <c r="L87" s="19" t="n">
        <v>0</v>
      </c>
      <c r="M87" s="20" t="inlineStr">
        <is>
          <t>신세계라이브쇼핑</t>
        </is>
      </c>
      <c r="N87" s="20" t="inlineStr">
        <is>
          <t>2위:11번가=431,430원 (카드할인 전용가 성격, 기본 표시가)</t>
        </is>
      </c>
      <c r="O87" s="11" t="inlineStr">
        <is>
          <t>20</t>
        </is>
      </c>
      <c r="P87" s="21" t="n">
        <v>111</v>
      </c>
      <c r="Q87" s="22" t="inlineStr"/>
      <c r="R87" s="22" t="inlineStr"/>
      <c r="S87" s="19" t="inlineStr"/>
      <c r="T87" s="23" t="inlineStr">
        <is>
          <t>내조사(다나와84)</t>
        </is>
      </c>
      <c r="U87" s="23" t="inlineStr"/>
      <c r="V87" s="23" t="inlineStr"/>
    </row>
    <row r="88" ht="28" customHeight="1">
      <c r="A88" s="11" t="inlineStr">
        <is>
          <t>삼성전자</t>
        </is>
      </c>
      <c r="B88" s="11" t="inlineStr">
        <is>
          <t>18L 제습기 / 삼성전자 제습기</t>
        </is>
      </c>
      <c r="C88" s="12" t="inlineStr">
        <is>
          <t>AY70H18100GVD</t>
        </is>
      </c>
      <c r="D88" s="13" t="n">
        <v>433340</v>
      </c>
      <c r="E88" s="14" t="inlineStr">
        <is>
          <t>https://search.danawa.com/dsearch.php?query=%EC%82%BC%EC%84%B1%20%EC%A0%9C%EC%8A%B5%EA%B8%B0</t>
        </is>
      </c>
      <c r="F88" s="14" t="inlineStr">
        <is>
          <t>https://www.coupang.com/np/search?q=AY70H18100GVD</t>
        </is>
      </c>
      <c r="G88" s="15" t="n"/>
      <c r="H88" s="16">
        <f>IF(G88="","",ROUND(G88-D88-G88*0.1188-L88,0))</f>
        <v/>
      </c>
      <c r="I88" s="17">
        <f>IF(OR(G88="",G88=0),"",ROUND(H88/G88*100,1))</f>
        <v/>
      </c>
      <c r="J88" s="18">
        <f>IF(G88="","위너가필요",IF(H88&gt;=10,"✅마진OK","❌미달"))</f>
        <v/>
      </c>
      <c r="K88" s="16" t="n">
        <v>491761</v>
      </c>
      <c r="L88" s="19" t="n">
        <v>0</v>
      </c>
      <c r="M88" s="20" t="inlineStr">
        <is>
          <t>11번가</t>
        </is>
      </c>
      <c r="N88" s="20" t="inlineStr">
        <is>
          <t>2위:G마켓=433,350원</t>
        </is>
      </c>
      <c r="O88" s="11" t="inlineStr">
        <is>
          <t>18</t>
        </is>
      </c>
      <c r="P88" s="21" t="n">
        <v>291</v>
      </c>
      <c r="Q88" s="22" t="inlineStr"/>
      <c r="R88" s="22" t="inlineStr"/>
      <c r="S88" s="19" t="inlineStr"/>
      <c r="T88" s="23" t="inlineStr">
        <is>
          <t>내조사(다나와84) + 업로드①마진계산</t>
        </is>
      </c>
      <c r="U88" s="23" t="inlineStr">
        <is>
          <t>쿠팡 자체 페이지는 직접 확인 불가(신호/리드 수준). ① 에펨코리아 핫딜 게시판에 이 모델 쿠팡 로켓배송 특가(357,930원 / 369,210원)가 반복 등장 → 쿠팡에서 활발히 유통·구매되는 인기 물량 신호. ② 2차 자료(블로그/쇼핑몰)에서 "평점 4.9, 누적 리뷰 7,600개 이상 베스트셀러 라인업"으로 언급되나 이는 쿠팡 확정 수치가 아니라 판매채널 통합/삼성 라인업 전체를 가리키는 리드로 해석 필요. ③ G마켓 평점 4.8·리뷰 86개 등 타 채널 리뷰는 실측되나 쿠팡 수치는 미확인. 종합: 쿠팡에서 로켓배송 인기 모델로 보이는 신호는 강하나, 구체적 쿠팡 리뷰 수는 확정 불가.</t>
        </is>
      </c>
      <c r="V88" s="23" t="inlineStr">
        <is>
          <t>성능 불만 신호: ①약 2개월 사용 후 따뜻한 바람 안 나옴 → 서비스센터에서 '냉매(가스) 누출' 진단, 제습력 저하 사례. ②운전 중 더운 바람이 피부에 직접 닿아 불쾌하다는 후기. ③소음(고주파음+팬 소음)이 조용한 환경에서 거슬린다는 지적 다수. 반품/과장광고 관련 직접 신호는 확인 안 됨. 다만 '가스 누출' 초기 고장 사례는 반품·교환 리스크 및 내구성 우려 신호로 모니터링 필요.</t>
        </is>
      </c>
    </row>
    <row r="89" ht="28" customHeight="1">
      <c r="A89" s="11" t="inlineStr">
        <is>
          <t>삼성전자</t>
        </is>
      </c>
      <c r="B89" s="11" t="inlineStr">
        <is>
          <t>18L 제습기 / 삼성전자 제습기</t>
        </is>
      </c>
      <c r="C89" s="12" t="inlineStr">
        <is>
          <t>AY18CG7500GED</t>
        </is>
      </c>
      <c r="D89" s="13" t="n">
        <v>438531</v>
      </c>
      <c r="E89" s="14" t="inlineStr">
        <is>
          <t>https://search.danawa.com/dsearch.php?query=%EC%82%BC%EC%84%B1%20%EC%A0%9C%EC%8A%B5%EA%B8%B0</t>
        </is>
      </c>
      <c r="F89" s="14" t="inlineStr">
        <is>
          <t>https://www.coupang.com/np/search?q=AY18CG7500GED</t>
        </is>
      </c>
      <c r="G89" s="15" t="n"/>
      <c r="H89" s="16">
        <f>IF(G89="","",ROUND(G89-D89-G89*0.1188-L89,0))</f>
        <v/>
      </c>
      <c r="I89" s="17">
        <f>IF(OR(G89="",G89=0),"",ROUND(H89/G89*100,1))</f>
        <v/>
      </c>
      <c r="J89" s="18">
        <f>IF(G89="","위너가필요",IF(H89&gt;=10,"✅마진OK","❌미달"))</f>
        <v/>
      </c>
      <c r="K89" s="16" t="n">
        <v>497652</v>
      </c>
      <c r="L89" s="19" t="n">
        <v>0</v>
      </c>
      <c r="M89" s="20" t="inlineStr">
        <is>
          <t>SSG.COM</t>
        </is>
      </c>
      <c r="N89" s="20" t="inlineStr">
        <is>
          <t>2위:이마트몰=442,960원</t>
        </is>
      </c>
      <c r="O89" s="11" t="inlineStr">
        <is>
          <t>18</t>
        </is>
      </c>
      <c r="P89" s="21" t="n">
        <v>111</v>
      </c>
      <c r="Q89" s="22" t="inlineStr"/>
      <c r="R89" s="22" t="inlineStr"/>
      <c r="S89" s="19" t="inlineStr"/>
      <c r="T89" s="23" t="inlineStr">
        <is>
          <t>내조사(다나와84)</t>
        </is>
      </c>
      <c r="U89" s="23" t="inlineStr">
        <is>
          <t>쿠팡 직접 접근 불가로 확정 리뷰 수는 확인 불가(수치 미확인). 2차 자료 기준 '신호/리드'만 요약: (1) 블로그에 "6개월 사용후기", "솔직 후기" 등 실사용 리뷰 콘텐츠가 다수 존재 → 개인 구매·사용층이 두꺼움을 시사(keyzard, booza 블로그). (2) 다나와/노써치 등 가격비교 사이트에 등재되어 있고 쿠팡·11번가·SSG·롯데몰·삼성몰·코스트코 등 광범위한 유통망에 노출 → 대중적 유통 모델이라는 리드. (3) 노써치 스펙분석 페이지 기준 실사용 후기 긍정 95% / 부정 5% 언급(2차 집계, 검증 아님). 종합: 쿠팡 자체 리뷰 수는 미확인이나, 2차 자료 정황상 '인기·리뷰 다수 가능성 높음'으로 추정되는 리드 수준. 실제 쿠팡 리뷰 수·평점은 쿠팡 페이지 직접 확인 필요.</t>
        </is>
      </c>
      <c r="V89" s="23" t="inlineStr">
        <is>
          <t>현재 2차 자료에서 성능 불만·과장광고·반품 관련 부정 신호는 뚜렷하게 발견되지 않음(저위험 리드). 다만 주의점: (1) 대부분 노출 콘텐츠가 블로그/판매몰 홍보성(제휴·환급가전 프로모션 강조)이라 부정 후기가 상대적으로 적게 노출되는 편향 가능 → 과장광고 리스크는 '판단 보류'. (2) 제습기 카테고리 공통 반품 사유(소음 체감·기대 대비 제습력·무게 17.2kg로 이동 불편)가 잠재 위험. 소음은 저소음 34dB로 광고되나 최대 운전 시 체감 소음은 상이할 수 있음. (3) 삼성 정책상 단순변심 반품 7일 이내, 표시·광고 상이 시 3개월 이내 가능. 성능 불만 실제 사례는 쿠팡 실구매 리뷰(별점 낮은 순) 직접 확인으로 검증 권장.</t>
        </is>
      </c>
    </row>
    <row r="90" ht="28" customHeight="1">
      <c r="A90" s="11" t="inlineStr">
        <is>
          <t>LG전자</t>
        </is>
      </c>
      <c r="B90" s="11" t="inlineStr">
        <is>
          <t>15L 제습기 / LG전자 제습기</t>
        </is>
      </c>
      <c r="C90" s="12" t="inlineStr">
        <is>
          <t>DQ154MWGA</t>
        </is>
      </c>
      <c r="D90" s="13" t="n">
        <v>442550</v>
      </c>
      <c r="E90" s="14" t="inlineStr">
        <is>
          <t>https://prod.danawa.com/info/?pcode=57504929</t>
        </is>
      </c>
      <c r="F90" s="14" t="inlineStr">
        <is>
          <t>https://www.coupang.com/np/search?q=DQ154MWGA</t>
        </is>
      </c>
      <c r="G90" s="15" t="n"/>
      <c r="H90" s="16">
        <f>IF(G90="","",ROUND(G90-D90-G90*0.1188-L90,0))</f>
        <v/>
      </c>
      <c r="I90" s="17">
        <f>IF(OR(G90="",G90=0),"",ROUND(H90/G90*100,1))</f>
        <v/>
      </c>
      <c r="J90" s="18">
        <f>IF(G90="","위너가필요",IF(H90&gt;=10,"✅마진OK","❌미달"))</f>
        <v/>
      </c>
      <c r="K90" s="16" t="n">
        <v>502213</v>
      </c>
      <c r="L90" s="19" t="n">
        <v>0</v>
      </c>
      <c r="M90" s="20" t="inlineStr"/>
      <c r="N90" s="20" t="inlineStr"/>
      <c r="O90" s="11" t="n">
        <v>15</v>
      </c>
      <c r="P90" s="21" t="inlineStr"/>
      <c r="Q90" s="22" t="inlineStr"/>
      <c r="R90" s="22" t="inlineStr"/>
      <c r="S90" s="19" t="inlineStr"/>
      <c r="T90" s="23" t="inlineStr">
        <is>
          <t>업로드①마진계산</t>
        </is>
      </c>
      <c r="U90" s="23" t="inlineStr"/>
      <c r="V90" s="23" t="inlineStr">
        <is>
          <t>LG 15L. 공식가 통제—진입가 여유 적음</t>
        </is>
      </c>
    </row>
    <row r="91" ht="28" customHeight="1">
      <c r="A91" s="11" t="inlineStr">
        <is>
          <t>LG전자</t>
        </is>
      </c>
      <c r="B91" s="11" t="inlineStr">
        <is>
          <t>20L 제습기 / LG전자 제습기</t>
        </is>
      </c>
      <c r="C91" s="12" t="inlineStr">
        <is>
          <t>DQ205PEGA</t>
        </is>
      </c>
      <c r="D91" s="13" t="n">
        <v>442750</v>
      </c>
      <c r="E91" s="14" t="inlineStr">
        <is>
          <t>https://prod.danawa.com/info/?pcode=77015864</t>
        </is>
      </c>
      <c r="F91" s="14" t="inlineStr">
        <is>
          <t>https://www.coupang.com/np/search?q=DQ205PEGA</t>
        </is>
      </c>
      <c r="G91" s="15" t="n"/>
      <c r="H91" s="16">
        <f>IF(G91="","",ROUND(G91-D91-G91*0.1188-L91,0))</f>
        <v/>
      </c>
      <c r="I91" s="17">
        <f>IF(OR(G91="",G91=0),"",ROUND(H91/G91*100,1))</f>
        <v/>
      </c>
      <c r="J91" s="18">
        <f>IF(G91="","위너가필요",IF(H91&gt;=10,"✅마진OK","❌미달"))</f>
        <v/>
      </c>
      <c r="K91" s="16" t="n">
        <v>502440</v>
      </c>
      <c r="L91" s="19" t="n">
        <v>0</v>
      </c>
      <c r="M91" s="20" t="inlineStr"/>
      <c r="N91" s="20" t="inlineStr"/>
      <c r="O91" s="11" t="n">
        <v>20</v>
      </c>
      <c r="P91" s="21" t="inlineStr"/>
      <c r="Q91" s="22" t="inlineStr"/>
      <c r="R91" s="22" t="inlineStr"/>
      <c r="S91" s="19" t="inlineStr"/>
      <c r="T91" s="23" t="inlineStr">
        <is>
          <t>업로드①마진계산</t>
        </is>
      </c>
      <c r="U91" s="23" t="inlineStr"/>
      <c r="V91" s="23" t="inlineStr">
        <is>
          <t>오브제 20L. 고가·마진 얇음</t>
        </is>
      </c>
    </row>
    <row r="92" ht="28" customHeight="1">
      <c r="A92" s="11" t="inlineStr">
        <is>
          <t>LG전자</t>
        </is>
      </c>
      <c r="B92" s="11" t="inlineStr">
        <is>
          <t>13L 제습기 / LG전자 제습기</t>
        </is>
      </c>
      <c r="C92" s="12" t="inlineStr">
        <is>
          <t>DQ136MWRA</t>
        </is>
      </c>
      <c r="D92" s="13" t="n">
        <v>449000</v>
      </c>
      <c r="E92" s="14" t="inlineStr">
        <is>
          <t>https://prod.danawa.com/info/?pcode=122717367</t>
        </is>
      </c>
      <c r="F92" s="14" t="inlineStr">
        <is>
          <t>https://www.coupang.com/np/search?q=DQ136MWRA</t>
        </is>
      </c>
      <c r="G92" s="15" t="n"/>
      <c r="H92" s="16">
        <f>IF(G92="","",ROUND(G92-D92-G92*0.1188-L92,0))</f>
        <v/>
      </c>
      <c r="I92" s="17">
        <f>IF(OR(G92="",G92=0),"",ROUND(H92/G92*100,1))</f>
        <v/>
      </c>
      <c r="J92" s="18">
        <f>IF(G92="","위너가필요",IF(H92&gt;=10,"✅마진OK","❌미달"))</f>
        <v/>
      </c>
      <c r="K92" s="16" t="n">
        <v>509532</v>
      </c>
      <c r="L92" s="19" t="n">
        <v>0</v>
      </c>
      <c r="M92" s="20" t="inlineStr"/>
      <c r="N92" s="20" t="inlineStr"/>
      <c r="O92" s="11" t="n">
        <v>13</v>
      </c>
      <c r="P92" s="21" t="inlineStr"/>
      <c r="Q92" s="22" t="inlineStr"/>
      <c r="R92" s="22" t="inlineStr"/>
      <c r="S92" s="19" t="inlineStr"/>
      <c r="T92" s="23" t="inlineStr">
        <is>
          <t>업로드①마진계산</t>
        </is>
      </c>
      <c r="U92" s="23" t="inlineStr"/>
      <c r="V92" s="23" t="inlineStr">
        <is>
          <t>26년 신형—쿠팡리뷰 아직 적을 수 있음(30개 미만시 제외)</t>
        </is>
      </c>
    </row>
    <row r="93" ht="28" customHeight="1">
      <c r="A93" s="11" t="inlineStr">
        <is>
          <t>LG전자</t>
        </is>
      </c>
      <c r="B93" s="11" t="inlineStr">
        <is>
          <t>18L 제습기 / LG전자 제습기</t>
        </is>
      </c>
      <c r="C93" s="12" t="inlineStr">
        <is>
          <t>DQ185MEGA</t>
        </is>
      </c>
      <c r="D93" s="13" t="n">
        <v>454650</v>
      </c>
      <c r="E93" s="14" t="inlineStr">
        <is>
          <t>https://prod.danawa.com/info/?pcode=90267656</t>
        </is>
      </c>
      <c r="F93" s="14" t="inlineStr">
        <is>
          <t>https://www.coupang.com/np/search?q=DQ185MEGA</t>
        </is>
      </c>
      <c r="G93" s="15" t="n"/>
      <c r="H93" s="16">
        <f>IF(G93="","",ROUND(G93-D93-G93*0.1188-L93,0))</f>
        <v/>
      </c>
      <c r="I93" s="17">
        <f>IF(OR(G93="",G93=0),"",ROUND(H93/G93*100,1))</f>
        <v/>
      </c>
      <c r="J93" s="18">
        <f>IF(G93="","위너가필요",IF(H93&gt;=10,"✅마진OK","❌미달"))</f>
        <v/>
      </c>
      <c r="K93" s="16" t="n">
        <v>515944</v>
      </c>
      <c r="L93" s="19" t="n">
        <v>0</v>
      </c>
      <c r="M93" s="20" t="inlineStr"/>
      <c r="N93" s="20" t="inlineStr"/>
      <c r="O93" s="11" t="n">
        <v>18</v>
      </c>
      <c r="P93" s="21" t="inlineStr"/>
      <c r="Q93" s="22" t="inlineStr"/>
      <c r="R93" s="22" t="inlineStr"/>
      <c r="S93" s="19" t="inlineStr"/>
      <c r="T93" s="23" t="inlineStr">
        <is>
          <t>업로드①마진계산</t>
        </is>
      </c>
      <c r="U93" s="23" t="inlineStr"/>
      <c r="V93" s="23" t="inlineStr">
        <is>
          <t>오브제 18L. 리뷰199</t>
        </is>
      </c>
    </row>
    <row r="94" ht="28" customHeight="1">
      <c r="A94" s="11" t="inlineStr">
        <is>
          <t>LG전자</t>
        </is>
      </c>
      <c r="B94" s="11" t="inlineStr">
        <is>
          <t>16L 제습기 / LG전자 제습기</t>
        </is>
      </c>
      <c r="C94" s="12" t="inlineStr">
        <is>
          <t>DQ162PBBC</t>
        </is>
      </c>
      <c r="D94" s="13" t="n">
        <v>459000</v>
      </c>
      <c r="E94" s="14" t="inlineStr">
        <is>
          <t>https://search.danawa.com/dsearch.php?query=LG%20%ED%9C%98%EC%84%BC%20%EC%A0%9C%EC%8A%B5%EA%B8%B0</t>
        </is>
      </c>
      <c r="F94" s="14" t="inlineStr">
        <is>
          <t>https://www.coupang.com/np/search?q=DQ162PBBC</t>
        </is>
      </c>
      <c r="G94" s="15" t="n"/>
      <c r="H94" s="16">
        <f>IF(G94="","",ROUND(G94-D94-G94*0.1188-L94,0))</f>
        <v/>
      </c>
      <c r="I94" s="17">
        <f>IF(OR(G94="",G94=0),"",ROUND(H94/G94*100,1))</f>
        <v/>
      </c>
      <c r="J94" s="18">
        <f>IF(G94="","위너가필요",IF(H94&gt;=10,"✅마진OK","❌미달"))</f>
        <v/>
      </c>
      <c r="K94" s="16" t="n">
        <v>520881</v>
      </c>
      <c r="L94" s="19" t="n">
        <v>0</v>
      </c>
      <c r="M94" s="20" t="inlineStr">
        <is>
          <t>쿠팡</t>
        </is>
      </c>
      <c r="N94" s="20" t="inlineStr">
        <is>
          <t>⚠쿠팡이최저=마진X / 2위:마이홈물류직배=508,900원</t>
        </is>
      </c>
      <c r="O94" s="11" t="inlineStr">
        <is>
          <t>16</t>
        </is>
      </c>
      <c r="P94" s="21" t="n">
        <v>40</v>
      </c>
      <c r="Q94" s="22" t="inlineStr"/>
      <c r="R94" s="22" t="inlineStr"/>
      <c r="S94" s="19" t="inlineStr"/>
      <c r="T94" s="23" t="inlineStr">
        <is>
          <t>내조사(다나와84)</t>
        </is>
      </c>
      <c r="U94" s="23" t="inlineStr"/>
      <c r="V94" s="23" t="inlineStr"/>
    </row>
    <row r="95" ht="28" customHeight="1">
      <c r="A95" s="11" t="inlineStr">
        <is>
          <t>삼성전자</t>
        </is>
      </c>
      <c r="B95" s="11" t="inlineStr">
        <is>
          <t>21L 제습기 / 삼성전자 제습기</t>
        </is>
      </c>
      <c r="C95" s="12" t="inlineStr">
        <is>
          <t>AY70H21100GTD</t>
        </is>
      </c>
      <c r="D95" s="13" t="n">
        <v>482920</v>
      </c>
      <c r="E95" s="14" t="inlineStr">
        <is>
          <t>https://search.danawa.com/dsearch.php?query=%EC%82%BC%EC%84%B1%20%EC%A0%9C%EC%8A%B5%EA%B8%B0</t>
        </is>
      </c>
      <c r="F95" s="14" t="inlineStr">
        <is>
          <t>https://www.coupang.com/np/search?q=AY70H21100GTD</t>
        </is>
      </c>
      <c r="G95" s="15" t="n"/>
      <c r="H95" s="16">
        <f>IF(G95="","",ROUND(G95-D95-G95*0.1188-L95,0))</f>
        <v/>
      </c>
      <c r="I95" s="17">
        <f>IF(OR(G95="",G95=0),"",ROUND(H95/G95*100,1))</f>
        <v/>
      </c>
      <c r="J95" s="18">
        <f>IF(G95="","위너가필요",IF(H95&gt;=10,"✅마진OK","❌미달"))</f>
        <v/>
      </c>
      <c r="K95" s="16" t="n">
        <v>548025</v>
      </c>
      <c r="L95" s="19" t="n">
        <v>0</v>
      </c>
      <c r="M95" s="20" t="inlineStr">
        <is>
          <t>G마켓</t>
        </is>
      </c>
      <c r="N95" s="20" t="inlineStr">
        <is>
          <t>2위:옥션=498,010원</t>
        </is>
      </c>
      <c r="O95" s="11" t="inlineStr">
        <is>
          <t>21</t>
        </is>
      </c>
      <c r="P95" s="21" t="n">
        <v>9</v>
      </c>
      <c r="Q95" s="22" t="inlineStr"/>
      <c r="R95" s="22" t="inlineStr"/>
      <c r="S95" s="19" t="inlineStr"/>
      <c r="T95" s="23" t="inlineStr">
        <is>
          <t>내조사(다나와84) + 업로드①마진계산</t>
        </is>
      </c>
      <c r="U95" s="23" t="inlineStr"/>
      <c r="V95" s="23" t="inlineStr">
        <is>
          <t>삼성 21L. 몰수 적음(9)—시세변동 주의</t>
        </is>
      </c>
    </row>
    <row r="96" ht="28" customHeight="1">
      <c r="A96" s="11" t="inlineStr">
        <is>
          <t>LG전자</t>
        </is>
      </c>
      <c r="B96" s="11" t="inlineStr">
        <is>
          <t>21L 제습기 / LG전자 제습기</t>
        </is>
      </c>
      <c r="C96" s="12" t="inlineStr">
        <is>
          <t>DQ214MWGA</t>
        </is>
      </c>
      <c r="D96" s="13" t="n">
        <v>487070</v>
      </c>
      <c r="E96" s="14" t="inlineStr">
        <is>
          <t>https://prod.danawa.com/info/?pcode=57504887</t>
        </is>
      </c>
      <c r="F96" s="14" t="inlineStr">
        <is>
          <t>https://www.coupang.com/np/search?q=DQ214MWGA</t>
        </is>
      </c>
      <c r="G96" s="15" t="n"/>
      <c r="H96" s="16">
        <f>IF(G96="","",ROUND(G96-D96-G96*0.1188-L96,0))</f>
        <v/>
      </c>
      <c r="I96" s="17">
        <f>IF(OR(G96="",G96=0),"",ROUND(H96/G96*100,1))</f>
        <v/>
      </c>
      <c r="J96" s="18">
        <f>IF(G96="","위너가필요",IF(H96&gt;=10,"✅마진OK","❌미달"))</f>
        <v/>
      </c>
      <c r="K96" s="16" t="n">
        <v>552735</v>
      </c>
      <c r="L96" s="19" t="n">
        <v>0</v>
      </c>
      <c r="M96" s="20" t="inlineStr"/>
      <c r="N96" s="20" t="inlineStr"/>
      <c r="O96" s="11" t="n">
        <v>21</v>
      </c>
      <c r="P96" s="21" t="inlineStr"/>
      <c r="Q96" s="22" t="inlineStr"/>
      <c r="R96" s="22" t="inlineStr"/>
      <c r="S96" s="19" t="inlineStr"/>
      <c r="T96" s="23" t="inlineStr">
        <is>
          <t>업로드①마진계산</t>
        </is>
      </c>
      <c r="U96" s="23" t="inlineStr"/>
      <c r="V96" s="23" t="inlineStr">
        <is>
          <t>LG 21L. 고가·마진 얇음</t>
        </is>
      </c>
    </row>
    <row r="97" ht="28" customHeight="1">
      <c r="A97" s="11" t="inlineStr">
        <is>
          <t>위닉스</t>
        </is>
      </c>
      <c r="B97" s="11" t="inlineStr">
        <is>
          <t>16L 제습기 / 위닉스 제습기</t>
        </is>
      </c>
      <c r="C97" s="12" t="inlineStr">
        <is>
          <t>DHD-169OSST</t>
        </is>
      </c>
      <c r="D97" s="13" t="n">
        <v>494300</v>
      </c>
      <c r="E97" s="14" t="inlineStr">
        <is>
          <t>https://search.danawa.com/dsearch.php?query=%EC%9C%84%EB%8B%89%EC%8A%A4%20%EB%BD%80%EC%86%A1%2016L%20%EC%A0%9C%EC%8A%B5%EA%B8%B0</t>
        </is>
      </c>
      <c r="F97" s="14" t="inlineStr">
        <is>
          <t>https://www.coupang.com/np/search?q=DHD-169OSST</t>
        </is>
      </c>
      <c r="G97" s="15" t="n"/>
      <c r="H97" s="16">
        <f>IF(G97="","",ROUND(G97-D97-G97*0.1188-L97,0))</f>
        <v/>
      </c>
      <c r="I97" s="17">
        <f>IF(OR(G97="",G97=0),"",ROUND(H97/G97*100,1))</f>
        <v/>
      </c>
      <c r="J97" s="18">
        <f>IF(G97="","위너가필요",IF(H97&gt;=10,"✅마진OK","❌미달"))</f>
        <v/>
      </c>
      <c r="K97" s="16" t="n">
        <v>560940</v>
      </c>
      <c r="L97" s="19" t="n">
        <v>0</v>
      </c>
      <c r="M97" s="20" t="inlineStr">
        <is>
          <t>11번가</t>
        </is>
      </c>
      <c r="N97" s="20" t="inlineStr">
        <is>
          <t>2위:옥션=636,620원</t>
        </is>
      </c>
      <c r="O97" s="11" t="inlineStr">
        <is>
          <t>16</t>
        </is>
      </c>
      <c r="P97" s="21" t="n">
        <v>3</v>
      </c>
      <c r="Q97" s="22" t="inlineStr"/>
      <c r="R97" s="22" t="inlineStr"/>
      <c r="S97" s="19" t="inlineStr"/>
      <c r="T97" s="23" t="inlineStr">
        <is>
          <t>내조사(다나와84)</t>
        </is>
      </c>
      <c r="U97" s="23" t="inlineStr"/>
      <c r="V97" s="23" t="inlineStr"/>
    </row>
    <row r="98" ht="28" customHeight="1">
      <c r="A98" s="11" t="inlineStr">
        <is>
          <t>쿠쿠</t>
        </is>
      </c>
      <c r="B98" s="11" t="inlineStr">
        <is>
          <t>16L 제습기 / 쿠쿠 제습기</t>
        </is>
      </c>
      <c r="C98" s="12" t="inlineStr">
        <is>
          <t>DH-16ZH45FG</t>
        </is>
      </c>
      <c r="D98" s="13" t="n">
        <v>497500</v>
      </c>
      <c r="E98" s="14" t="inlineStr">
        <is>
          <t>https://search.danawa.com/dsearch.php?query=%EC%BF%A0%EC%BF%A0%20%EC%A0%9C%EC%8A%B5%EA%B8%B0</t>
        </is>
      </c>
      <c r="F98" s="14" t="inlineStr">
        <is>
          <t>https://www.coupang.com/np/search?q=DH-16ZH45FG</t>
        </is>
      </c>
      <c r="G98" s="15" t="n"/>
      <c r="H98" s="16">
        <f>IF(G98="","",ROUND(G98-D98-G98*0.1188-L98,0))</f>
        <v/>
      </c>
      <c r="I98" s="17">
        <f>IF(OR(G98="",G98=0),"",ROUND(H98/G98*100,1))</f>
        <v/>
      </c>
      <c r="J98" s="18">
        <f>IF(G98="","위너가필요",IF(H98&gt;=10,"✅마진OK","❌미달"))</f>
        <v/>
      </c>
      <c r="K98" s="16" t="n">
        <v>564571</v>
      </c>
      <c r="L98" s="19" t="n">
        <v>0</v>
      </c>
      <c r="M98" s="20" t="inlineStr">
        <is>
          <t>11번가</t>
        </is>
      </c>
      <c r="N98" s="20" t="inlineStr">
        <is>
          <t>2위:쿠팡=703,720원</t>
        </is>
      </c>
      <c r="O98" s="11" t="inlineStr">
        <is>
          <t>16</t>
        </is>
      </c>
      <c r="P98" s="21" t="n">
        <v>3</v>
      </c>
      <c r="Q98" s="22" t="inlineStr"/>
      <c r="R98" s="22" t="inlineStr"/>
      <c r="S98" s="19" t="inlineStr"/>
      <c r="T98" s="23" t="inlineStr">
        <is>
          <t>내조사(다나와84)</t>
        </is>
      </c>
      <c r="U98" s="23" t="inlineStr"/>
      <c r="V98" s="23" t="inlineStr"/>
    </row>
    <row r="99" ht="28" customHeight="1">
      <c r="A99" s="11" t="inlineStr">
        <is>
          <t>삼성전자</t>
        </is>
      </c>
      <c r="B99" s="11" t="inlineStr">
        <is>
          <t>18L 제습기 / 삼성전자 제습기</t>
        </is>
      </c>
      <c r="C99" s="12" t="inlineStr">
        <is>
          <t>AY18BG7500GBD</t>
        </is>
      </c>
      <c r="D99" s="13" t="n">
        <v>506120</v>
      </c>
      <c r="E99" s="14" t="inlineStr">
        <is>
          <t>https://search.danawa.com/dsearch.php?query=%EC%82%BC%EC%84%B1%20%EC%A0%9C%EC%8A%B5%EA%B8%B0</t>
        </is>
      </c>
      <c r="F99" s="14" t="inlineStr">
        <is>
          <t>https://www.coupang.com/np/search?q=AY18BG7500GBD</t>
        </is>
      </c>
      <c r="G99" s="15" t="n"/>
      <c r="H99" s="16">
        <f>IF(G99="","",ROUND(G99-D99-G99*0.1188-L99,0))</f>
        <v/>
      </c>
      <c r="I99" s="17">
        <f>IF(OR(G99="",G99=0),"",ROUND(H99/G99*100,1))</f>
        <v/>
      </c>
      <c r="J99" s="18">
        <f>IF(G99="","위너가필요",IF(H99&gt;=10,"✅마진OK","❌미달"))</f>
        <v/>
      </c>
      <c r="K99" s="16" t="n">
        <v>574353</v>
      </c>
      <c r="L99" s="19" t="n">
        <v>0</v>
      </c>
      <c r="M99" s="20" t="inlineStr">
        <is>
          <t>11번가</t>
        </is>
      </c>
      <c r="N99" s="20" t="inlineStr">
        <is>
          <t>2위:롯데ON=518,950원</t>
        </is>
      </c>
      <c r="O99" s="11" t="inlineStr">
        <is>
          <t>18</t>
        </is>
      </c>
      <c r="P99" s="21" t="n">
        <v>41</v>
      </c>
      <c r="Q99" s="22" t="inlineStr"/>
      <c r="R99" s="22" t="inlineStr"/>
      <c r="S99" s="19" t="inlineStr"/>
      <c r="T99" s="23" t="inlineStr">
        <is>
          <t>내조사(다나와84)</t>
        </is>
      </c>
      <c r="U99" s="23" t="inlineStr"/>
      <c r="V99" s="23" t="inlineStr"/>
    </row>
    <row r="100" ht="28" customHeight="1">
      <c r="A100" s="11" t="inlineStr">
        <is>
          <t>LG전자</t>
        </is>
      </c>
      <c r="B100" s="11" t="inlineStr">
        <is>
          <t>23L 제습기 / LG전자 제습기</t>
        </is>
      </c>
      <c r="C100" s="12" t="inlineStr">
        <is>
          <t>DQ235MWGA</t>
        </is>
      </c>
      <c r="D100" s="13" t="n">
        <v>555560</v>
      </c>
      <c r="E100" s="14" t="inlineStr">
        <is>
          <t>https://prod.danawa.com/info/?pcode=88233017</t>
        </is>
      </c>
      <c r="F100" s="14" t="inlineStr">
        <is>
          <t>https://www.coupang.com/np/search?q=DQ235MWGA</t>
        </is>
      </c>
      <c r="G100" s="15" t="n"/>
      <c r="H100" s="16">
        <f>IF(G100="","",ROUND(G100-D100-G100*0.1188-L100,0))</f>
        <v/>
      </c>
      <c r="I100" s="17">
        <f>IF(OR(G100="",G100=0),"",ROUND(H100/G100*100,1))</f>
        <v/>
      </c>
      <c r="J100" s="18">
        <f>IF(G100="","위너가필요",IF(H100&gt;=10,"✅마진OK","❌미달"))</f>
        <v/>
      </c>
      <c r="K100" s="16" t="n">
        <v>630458</v>
      </c>
      <c r="L100" s="19" t="n">
        <v>0</v>
      </c>
      <c r="M100" s="20" t="inlineStr"/>
      <c r="N100" s="20" t="inlineStr"/>
      <c r="O100" s="11" t="n">
        <v>23</v>
      </c>
      <c r="P100" s="21" t="inlineStr"/>
      <c r="Q100" s="22" t="inlineStr"/>
      <c r="R100" s="22" t="inlineStr"/>
      <c r="S100" s="19" t="inlineStr"/>
      <c r="T100" s="23" t="inlineStr">
        <is>
          <t>업로드①마진계산</t>
        </is>
      </c>
      <c r="U100" s="23" t="inlineStr"/>
      <c r="V100" s="23" t="inlineStr">
        <is>
          <t>LG 23L 대형 인기. 고가·공식통제 강함</t>
        </is>
      </c>
    </row>
    <row r="101" ht="28" customHeight="1">
      <c r="A101" s="11" t="inlineStr">
        <is>
          <t>신일</t>
        </is>
      </c>
      <c r="B101" s="11" t="inlineStr">
        <is>
          <t>60L 제습기 / 신일 제습기</t>
        </is>
      </c>
      <c r="C101" s="12" t="inlineStr">
        <is>
          <t>SDH-BPM600</t>
        </is>
      </c>
      <c r="D101" s="13" t="n">
        <v>578470</v>
      </c>
      <c r="E101" s="14" t="inlineStr">
        <is>
          <t>https://search.danawa.com/dsearch.php?query=%EC%8B%A0%EC%9D%BC%20%EC%A0%9C%EC%8A%B5%EA%B8%B0</t>
        </is>
      </c>
      <c r="F101" s="14" t="inlineStr">
        <is>
          <t>https://www.coupang.com/np/search?q=SDH-BPM600</t>
        </is>
      </c>
      <c r="G101" s="15" t="n"/>
      <c r="H101" s="16">
        <f>IF(G101="","",ROUND(G101-D101-G101*0.1188-L101,0))</f>
        <v/>
      </c>
      <c r="I101" s="17">
        <f>IF(OR(G101="",G101=0),"",ROUND(H101/G101*100,1))</f>
        <v/>
      </c>
      <c r="J101" s="18">
        <f>IF(G101="","위너가필요",IF(H101&gt;=10,"✅마진OK","❌미달"))</f>
        <v/>
      </c>
      <c r="K101" s="16" t="n">
        <v>656457</v>
      </c>
      <c r="L101" s="19" t="n">
        <v>0</v>
      </c>
      <c r="M101" s="20" t="inlineStr">
        <is>
          <t>11번가</t>
        </is>
      </c>
      <c r="N101" s="20" t="inlineStr">
        <is>
          <t>2위:롯데ON=578,480원</t>
        </is>
      </c>
      <c r="O101" s="11" t="inlineStr">
        <is>
          <t>60</t>
        </is>
      </c>
      <c r="P101" s="21" t="n">
        <v>61</v>
      </c>
      <c r="Q101" s="22" t="inlineStr"/>
      <c r="R101" s="22" t="inlineStr"/>
      <c r="S101" s="19" t="inlineStr"/>
      <c r="T101" s="23" t="inlineStr">
        <is>
          <t>내조사(다나와84)</t>
        </is>
      </c>
      <c r="U101" s="23" t="inlineStr"/>
      <c r="V101" s="23" t="inlineStr"/>
    </row>
    <row r="102" ht="28" customHeight="1">
      <c r="A102" s="11" t="inlineStr">
        <is>
          <t>LG전자</t>
        </is>
      </c>
      <c r="B102" s="11" t="inlineStr">
        <is>
          <t>25L 제습기 / LG전자 제습기</t>
        </is>
      </c>
      <c r="C102" s="12" t="inlineStr">
        <is>
          <t>DQ256MWGA</t>
        </is>
      </c>
      <c r="D102" s="13" t="n">
        <v>602580</v>
      </c>
      <c r="E102" s="14" t="inlineStr">
        <is>
          <t>https://search.danawa.com/dsearch.php?query=LG%20%ED%9C%98%EC%84%BC%20%EC%A0%9C%EC%8A%B5%EA%B8%B0</t>
        </is>
      </c>
      <c r="F102" s="14" t="inlineStr">
        <is>
          <t>https://www.coupang.com/np/search?q=DQ256MWGA</t>
        </is>
      </c>
      <c r="G102" s="15" t="n"/>
      <c r="H102" s="16">
        <f>IF(G102="","",ROUND(G102-D102-G102*0.1188-L102,0))</f>
        <v/>
      </c>
      <c r="I102" s="17">
        <f>IF(OR(G102="",G102=0),"",ROUND(H102/G102*100,1))</f>
        <v/>
      </c>
      <c r="J102" s="18">
        <f>IF(G102="","위너가필요",IF(H102&gt;=10,"✅마진OK","❌미달"))</f>
        <v/>
      </c>
      <c r="K102" s="16" t="n">
        <v>683818</v>
      </c>
      <c r="L102" s="19" t="n">
        <v>0</v>
      </c>
      <c r="M102" s="20" t="inlineStr">
        <is>
          <t>옥션</t>
        </is>
      </c>
      <c r="N102" s="20" t="inlineStr">
        <is>
          <t>2위:11번가=604,280원</t>
        </is>
      </c>
      <c r="O102" s="11" t="inlineStr">
        <is>
          <t>25</t>
        </is>
      </c>
      <c r="P102" s="21" t="n">
        <v>487</v>
      </c>
      <c r="Q102" s="22" t="inlineStr"/>
      <c r="R102" s="22" t="inlineStr"/>
      <c r="S102" s="19" t="inlineStr"/>
      <c r="T102" s="23" t="inlineStr">
        <is>
          <t>내조사(다나와84)</t>
        </is>
      </c>
      <c r="U102" s="23" t="inlineStr"/>
      <c r="V102" s="23" t="inlineStr"/>
    </row>
    <row r="103" ht="28" customHeight="1">
      <c r="A103" s="11" t="inlineStr">
        <is>
          <t>삼성전자</t>
        </is>
      </c>
      <c r="B103" s="11" t="inlineStr">
        <is>
          <t>23L 제습기 / 삼성전자 제습기</t>
        </is>
      </c>
      <c r="C103" s="12" t="inlineStr">
        <is>
          <t>AY70H23100GVD</t>
        </is>
      </c>
      <c r="D103" s="13" t="n">
        <v>694470</v>
      </c>
      <c r="E103" s="14" t="inlineStr">
        <is>
          <t>https://search.danawa.com/dsearch.php?query=%EC%82%BC%EC%84%B1%20%EC%A0%9C%EC%8A%B5%EA%B8%B0</t>
        </is>
      </c>
      <c r="F103" s="14" t="inlineStr">
        <is>
          <t>https://www.coupang.com/np/search?q=AY70H23100GVD</t>
        </is>
      </c>
      <c r="G103" s="15" t="n"/>
      <c r="H103" s="16">
        <f>IF(G103="","",ROUND(G103-D103-G103*0.1188-L103,0))</f>
        <v/>
      </c>
      <c r="I103" s="17">
        <f>IF(OR(G103="",G103=0),"",ROUND(H103/G103*100,1))</f>
        <v/>
      </c>
      <c r="J103" s="18">
        <f>IF(G103="","위너가필요",IF(H103&gt;=10,"✅마진OK","❌미달"))</f>
        <v/>
      </c>
      <c r="K103" s="16" t="n">
        <v>788096</v>
      </c>
      <c r="L103" s="19" t="n">
        <v>0</v>
      </c>
      <c r="M103" s="20" t="inlineStr">
        <is>
          <t>G마켓</t>
        </is>
      </c>
      <c r="N103" s="20" t="inlineStr">
        <is>
          <t>2위:옥션=723,390원</t>
        </is>
      </c>
      <c r="O103" s="11" t="inlineStr">
        <is>
          <t>23</t>
        </is>
      </c>
      <c r="P103" s="21" t="n">
        <v>5</v>
      </c>
      <c r="Q103" s="22" t="inlineStr"/>
      <c r="R103" s="22" t="inlineStr"/>
      <c r="S103" s="19" t="inlineStr"/>
      <c r="T103" s="23" t="inlineStr">
        <is>
          <t>내조사(다나와84)</t>
        </is>
      </c>
      <c r="U103" s="23" t="inlineStr"/>
      <c r="V103" s="23" t="inlineStr"/>
    </row>
    <row r="104" ht="28" customHeight="1">
      <c r="A104" s="11" t="inlineStr">
        <is>
          <t>LG전자</t>
        </is>
      </c>
      <c r="B104" s="11" t="inlineStr">
        <is>
          <t>25L 제습기 / LG전자 제습기</t>
        </is>
      </c>
      <c r="C104" s="12" t="inlineStr">
        <is>
          <t>DQ256MWGAS</t>
        </is>
      </c>
      <c r="D104" s="13" t="n">
        <v>777000</v>
      </c>
      <c r="E104" s="14" t="inlineStr">
        <is>
          <t>https://search.danawa.com/dsearch.php?query=LG%20%ED%9C%98%EC%84%BC%20%EC%A0%9C%EC%8A%B5%EA%B8%B0</t>
        </is>
      </c>
      <c r="F104" s="14" t="inlineStr">
        <is>
          <t>https://www.coupang.com/np/search?q=DQ256MWGAS</t>
        </is>
      </c>
      <c r="G104" s="15" t="n"/>
      <c r="H104" s="16">
        <f>IF(G104="","",ROUND(G104-D104-G104*0.1188-L104,0))</f>
        <v/>
      </c>
      <c r="I104" s="17">
        <f>IF(OR(G104="",G104=0),"",ROUND(H104/G104*100,1))</f>
        <v/>
      </c>
      <c r="J104" s="18">
        <f>IF(G104="","위너가필요",IF(H104&gt;=10,"✅마진OK","❌미달"))</f>
        <v/>
      </c>
      <c r="K104" s="16" t="n">
        <v>881752</v>
      </c>
      <c r="L104" s="19" t="n">
        <v>0</v>
      </c>
      <c r="M104" s="20" t="inlineStr">
        <is>
          <t>지엠디지털 네이버페이</t>
        </is>
      </c>
      <c r="N104" s="20" t="inlineStr">
        <is>
          <t>2위:신세계라이브쇼핑=784,740원</t>
        </is>
      </c>
      <c r="O104" s="11" t="inlineStr">
        <is>
          <t>25</t>
        </is>
      </c>
      <c r="P104" s="21" t="n">
        <v>171</v>
      </c>
      <c r="Q104" s="22" t="inlineStr"/>
      <c r="R104" s="22" t="inlineStr"/>
      <c r="S104" s="19" t="inlineStr"/>
      <c r="T104" s="23" t="inlineStr">
        <is>
          <t>내조사(다나와84)</t>
        </is>
      </c>
      <c r="U104" s="23" t="inlineStr"/>
      <c r="V104" s="23" t="inlineStr"/>
    </row>
    <row r="105" ht="28" customHeight="1">
      <c r="A105" s="11" t="inlineStr">
        <is>
          <t>삼성전자</t>
        </is>
      </c>
      <c r="B105" s="11" t="inlineStr">
        <is>
          <t>23L 제습기 / 삼성전자 제습기</t>
        </is>
      </c>
      <c r="C105" s="12" t="inlineStr">
        <is>
          <t>AY70H23100GTD</t>
        </is>
      </c>
      <c r="D105" s="13" t="n">
        <v>779000</v>
      </c>
      <c r="E105" s="14" t="inlineStr">
        <is>
          <t>https://search.danawa.com/dsearch.php?query=%EC%82%BC%EC%84%B1%20%EC%A0%9C%EC%8A%B5%EA%B8%B0</t>
        </is>
      </c>
      <c r="F105" s="14" t="inlineStr">
        <is>
          <t>https://www.coupang.com/np/search?q=AY70H23100GTD</t>
        </is>
      </c>
      <c r="G105" s="15" t="n"/>
      <c r="H105" s="16">
        <f>IF(G105="","",ROUND(G105-D105-G105*0.1188-L105,0))</f>
        <v/>
      </c>
      <c r="I105" s="17">
        <f>IF(OR(G105="",G105=0),"",ROUND(H105/G105*100,1))</f>
        <v/>
      </c>
      <c r="J105" s="18">
        <f>IF(G105="","위너가필요",IF(H105&gt;=10,"✅마진OK","❌미달"))</f>
        <v/>
      </c>
      <c r="K105" s="16" t="n">
        <v>884022</v>
      </c>
      <c r="L105" s="19" t="n">
        <v>0</v>
      </c>
      <c r="M105" s="20" t="inlineStr">
        <is>
          <t>AI가전 네이버페이</t>
        </is>
      </c>
      <c r="N105" s="20" t="inlineStr">
        <is>
          <t>2위:전자랜드=819,000원</t>
        </is>
      </c>
      <c r="O105" s="11" t="inlineStr">
        <is>
          <t>23</t>
        </is>
      </c>
      <c r="P105" s="21" t="n">
        <v>5</v>
      </c>
      <c r="Q105" s="22" t="inlineStr"/>
      <c r="R105" s="22" t="inlineStr"/>
      <c r="S105" s="19" t="inlineStr"/>
      <c r="T105" s="23" t="inlineStr">
        <is>
          <t>내조사(다나와84)</t>
        </is>
      </c>
      <c r="U105" s="23" t="inlineStr"/>
      <c r="V105" s="23" t="inlineStr"/>
    </row>
    <row r="106" ht="28" customHeight="1">
      <c r="A106" s="11" t="inlineStr">
        <is>
          <t>LG전자</t>
        </is>
      </c>
      <c r="B106" s="11" t="inlineStr">
        <is>
          <t>25L 제습기 / LG전자 제습기</t>
        </is>
      </c>
      <c r="C106" s="12" t="inlineStr">
        <is>
          <t>DQ256MEGA</t>
        </is>
      </c>
      <c r="D106" s="13" t="n">
        <v>810940</v>
      </c>
      <c r="E106" s="14" t="inlineStr">
        <is>
          <t>https://search.danawa.com/dsearch.php?query=LG%20%ED%9C%98%EC%84%BC%20%EC%A0%9C%EC%8A%B5%EA%B8%B0</t>
        </is>
      </c>
      <c r="F106" s="14" t="inlineStr">
        <is>
          <t>https://www.coupang.com/np/search?q=DQ256MEGA</t>
        </is>
      </c>
      <c r="G106" s="15" t="n"/>
      <c r="H106" s="16">
        <f>IF(G106="","",ROUND(G106-D106-G106*0.1188-L106,0))</f>
        <v/>
      </c>
      <c r="I106" s="17">
        <f>IF(OR(G106="",G106=0),"",ROUND(H106/G106*100,1))</f>
        <v/>
      </c>
      <c r="J106" s="18">
        <f>IF(G106="","위너가필요",IF(H106&gt;=10,"✅마진OK","❌미달"))</f>
        <v/>
      </c>
      <c r="K106" s="16" t="n">
        <v>920268</v>
      </c>
      <c r="L106" s="19" t="n">
        <v>0</v>
      </c>
      <c r="M106" s="20" t="inlineStr">
        <is>
          <t>11번가</t>
        </is>
      </c>
      <c r="N106" s="20" t="inlineStr">
        <is>
          <t>2위:옥션=810,950원</t>
        </is>
      </c>
      <c r="O106" s="11" t="inlineStr">
        <is>
          <t>25</t>
        </is>
      </c>
      <c r="P106" s="21" t="n">
        <v>213</v>
      </c>
      <c r="Q106" s="22" t="inlineStr"/>
      <c r="R106" s="22" t="inlineStr"/>
      <c r="S106" s="19" t="inlineStr"/>
      <c r="T106" s="23" t="inlineStr">
        <is>
          <t>내조사(다나와84)</t>
        </is>
      </c>
      <c r="U106" s="23" t="inlineStr"/>
      <c r="V106" s="23" t="inlineStr"/>
    </row>
    <row r="107" ht="28" customHeight="1">
      <c r="A107" s="11" t="inlineStr">
        <is>
          <t>캐리어</t>
        </is>
      </c>
      <c r="B107" s="11" t="inlineStr">
        <is>
          <t>16L 제습기 / 캐리어 제습기</t>
        </is>
      </c>
      <c r="C107" s="12" t="inlineStr">
        <is>
          <t>CDHM-C016LROW</t>
        </is>
      </c>
      <c r="D107" s="13" t="n"/>
      <c r="E107" s="14" t="inlineStr">
        <is>
          <t>https://search.danawa.com/dsearch.php?k1=CDHM-C016LROW</t>
        </is>
      </c>
      <c r="F107" s="14" t="inlineStr">
        <is>
          <t>https://www.coupang.com/vp/products/6355625499</t>
        </is>
      </c>
      <c r="G107" s="15" t="n"/>
      <c r="H107" s="16">
        <f>IF(G107="","",ROUND(G107-D107-G107*0.1188-L107,0))</f>
        <v/>
      </c>
      <c r="I107" s="17">
        <f>IF(OR(G107="",G107=0),"",ROUND(H107/G107*100,1))</f>
        <v/>
      </c>
      <c r="J107" s="18">
        <f>IF(G107="","위너가필요",IF(H107&gt;=10,"✅마진OK","❌미달"))</f>
        <v/>
      </c>
      <c r="K107" s="16" t="n"/>
      <c r="L107" s="19" t="n">
        <v>0</v>
      </c>
      <c r="M107" s="20" t="inlineStr"/>
      <c r="N107" s="20" t="inlineStr"/>
      <c r="O107" s="11" t="n">
        <v>16</v>
      </c>
      <c r="P107" s="21" t="inlineStr"/>
      <c r="Q107" s="22" t="n">
        <v>213</v>
      </c>
      <c r="R107" s="22" t="inlineStr">
        <is>
          <t>판매중지/품절</t>
        </is>
      </c>
      <c r="S107" s="19" t="inlineStr"/>
      <c r="T107" s="23" t="inlineStr">
        <is>
          <t>업로드쿠팡실측</t>
        </is>
      </c>
      <c r="U107" s="23" t="inlineStr"/>
      <c r="V107" s="23" t="inlineStr">
        <is>
          <t>[품절→제외] 리뷰는 충분하지만 현재 판매중이 아니어서 즉시 소싱 대상에서 제외.</t>
        </is>
      </c>
    </row>
  </sheetData>
  <mergeCells count="2">
    <mergeCell ref="A2:V2"/>
    <mergeCell ref="A1:V1"/>
  </mergeCells>
  <conditionalFormatting sqref="H4:H107">
    <cfRule type="cellIs" priority="1" operator="greaterThanOrEqual" dxfId="0">
      <formula>10</formula>
    </cfRule>
    <cfRule type="cellIs" priority="2" operator="lessThan" dxfId="1">
      <formula>10</formula>
    </cfRule>
  </conditionalFormatting>
  <conditionalFormatting sqref="J4:J107">
    <cfRule type="expression" priority="3" dxfId="2">
      <formula>J4="✅마진OK"</formula>
    </cfRule>
    <cfRule type="expression" priority="4" dxfId="1">
      <formula>J4="❌미달"</formula>
    </cfRule>
  </conditionalFormatting>
  <conditionalFormatting sqref="R4:R107">
    <cfRule type="expression" priority="5" dxfId="3">
      <formula>ISNUMBER(SEARCH("로켓",R4))</formula>
    </cfRule>
  </conditionalFormatting>
  <hyperlinks>
    <hyperlink xmlns:r="http://schemas.openxmlformats.org/officeDocument/2006/relationships" ref="E4" r:id="rId1"/>
    <hyperlink xmlns:r="http://schemas.openxmlformats.org/officeDocument/2006/relationships" ref="F4" r:id="rId2"/>
    <hyperlink xmlns:r="http://schemas.openxmlformats.org/officeDocument/2006/relationships" ref="E5" r:id="rId3"/>
    <hyperlink xmlns:r="http://schemas.openxmlformats.org/officeDocument/2006/relationships" ref="F5" r:id="rId4"/>
    <hyperlink xmlns:r="http://schemas.openxmlformats.org/officeDocument/2006/relationships" ref="E6" r:id="rId5"/>
    <hyperlink xmlns:r="http://schemas.openxmlformats.org/officeDocument/2006/relationships" ref="F6" r:id="rId6"/>
    <hyperlink xmlns:r="http://schemas.openxmlformats.org/officeDocument/2006/relationships" ref="E7" r:id="rId7"/>
    <hyperlink xmlns:r="http://schemas.openxmlformats.org/officeDocument/2006/relationships" ref="F7" r:id="rId8"/>
    <hyperlink xmlns:r="http://schemas.openxmlformats.org/officeDocument/2006/relationships" ref="E8" r:id="rId9"/>
    <hyperlink xmlns:r="http://schemas.openxmlformats.org/officeDocument/2006/relationships" ref="F8" r:id="rId10"/>
    <hyperlink xmlns:r="http://schemas.openxmlformats.org/officeDocument/2006/relationships" ref="E9" r:id="rId11"/>
    <hyperlink xmlns:r="http://schemas.openxmlformats.org/officeDocument/2006/relationships" ref="F9" r:id="rId12"/>
    <hyperlink xmlns:r="http://schemas.openxmlformats.org/officeDocument/2006/relationships" ref="E10" r:id="rId13"/>
    <hyperlink xmlns:r="http://schemas.openxmlformats.org/officeDocument/2006/relationships" ref="F10" r:id="rId14"/>
    <hyperlink xmlns:r="http://schemas.openxmlformats.org/officeDocument/2006/relationships" ref="E11" r:id="rId15"/>
    <hyperlink xmlns:r="http://schemas.openxmlformats.org/officeDocument/2006/relationships" ref="F11" r:id="rId16"/>
    <hyperlink xmlns:r="http://schemas.openxmlformats.org/officeDocument/2006/relationships" ref="E12" r:id="rId17"/>
    <hyperlink xmlns:r="http://schemas.openxmlformats.org/officeDocument/2006/relationships" ref="F12" r:id="rId18"/>
    <hyperlink xmlns:r="http://schemas.openxmlformats.org/officeDocument/2006/relationships" ref="E13" r:id="rId19"/>
    <hyperlink xmlns:r="http://schemas.openxmlformats.org/officeDocument/2006/relationships" ref="F13" r:id="rId20"/>
    <hyperlink xmlns:r="http://schemas.openxmlformats.org/officeDocument/2006/relationships" ref="E14" r:id="rId21"/>
    <hyperlink xmlns:r="http://schemas.openxmlformats.org/officeDocument/2006/relationships" ref="F14" r:id="rId22"/>
    <hyperlink xmlns:r="http://schemas.openxmlformats.org/officeDocument/2006/relationships" ref="E15" r:id="rId23"/>
    <hyperlink xmlns:r="http://schemas.openxmlformats.org/officeDocument/2006/relationships" ref="F15" r:id="rId24"/>
    <hyperlink xmlns:r="http://schemas.openxmlformats.org/officeDocument/2006/relationships" ref="E16" r:id="rId25"/>
    <hyperlink xmlns:r="http://schemas.openxmlformats.org/officeDocument/2006/relationships" ref="F16" r:id="rId26"/>
    <hyperlink xmlns:r="http://schemas.openxmlformats.org/officeDocument/2006/relationships" ref="E17" r:id="rId27"/>
    <hyperlink xmlns:r="http://schemas.openxmlformats.org/officeDocument/2006/relationships" ref="F17" r:id="rId28"/>
    <hyperlink xmlns:r="http://schemas.openxmlformats.org/officeDocument/2006/relationships" ref="E18" r:id="rId29"/>
    <hyperlink xmlns:r="http://schemas.openxmlformats.org/officeDocument/2006/relationships" ref="F18" r:id="rId30"/>
    <hyperlink xmlns:r="http://schemas.openxmlformats.org/officeDocument/2006/relationships" ref="E19" r:id="rId31"/>
    <hyperlink xmlns:r="http://schemas.openxmlformats.org/officeDocument/2006/relationships" ref="F19" r:id="rId32"/>
    <hyperlink xmlns:r="http://schemas.openxmlformats.org/officeDocument/2006/relationships" ref="E20" r:id="rId33"/>
    <hyperlink xmlns:r="http://schemas.openxmlformats.org/officeDocument/2006/relationships" ref="F20" r:id="rId34"/>
    <hyperlink xmlns:r="http://schemas.openxmlformats.org/officeDocument/2006/relationships" ref="E21" r:id="rId35"/>
    <hyperlink xmlns:r="http://schemas.openxmlformats.org/officeDocument/2006/relationships" ref="F21" r:id="rId36"/>
    <hyperlink xmlns:r="http://schemas.openxmlformats.org/officeDocument/2006/relationships" ref="E22" r:id="rId37"/>
    <hyperlink xmlns:r="http://schemas.openxmlformats.org/officeDocument/2006/relationships" ref="F22" r:id="rId38"/>
    <hyperlink xmlns:r="http://schemas.openxmlformats.org/officeDocument/2006/relationships" ref="E23" r:id="rId39"/>
    <hyperlink xmlns:r="http://schemas.openxmlformats.org/officeDocument/2006/relationships" ref="F23" r:id="rId40"/>
    <hyperlink xmlns:r="http://schemas.openxmlformats.org/officeDocument/2006/relationships" ref="E24" r:id="rId41"/>
    <hyperlink xmlns:r="http://schemas.openxmlformats.org/officeDocument/2006/relationships" ref="F24" r:id="rId42"/>
    <hyperlink xmlns:r="http://schemas.openxmlformats.org/officeDocument/2006/relationships" ref="E25" r:id="rId43"/>
    <hyperlink xmlns:r="http://schemas.openxmlformats.org/officeDocument/2006/relationships" ref="F25" r:id="rId44"/>
    <hyperlink xmlns:r="http://schemas.openxmlformats.org/officeDocument/2006/relationships" ref="E26" r:id="rId45"/>
    <hyperlink xmlns:r="http://schemas.openxmlformats.org/officeDocument/2006/relationships" ref="F26" r:id="rId46"/>
    <hyperlink xmlns:r="http://schemas.openxmlformats.org/officeDocument/2006/relationships" ref="E27" r:id="rId47"/>
    <hyperlink xmlns:r="http://schemas.openxmlformats.org/officeDocument/2006/relationships" ref="F27" r:id="rId48"/>
    <hyperlink xmlns:r="http://schemas.openxmlformats.org/officeDocument/2006/relationships" ref="E28" r:id="rId49"/>
    <hyperlink xmlns:r="http://schemas.openxmlformats.org/officeDocument/2006/relationships" ref="F28" r:id="rId50"/>
    <hyperlink xmlns:r="http://schemas.openxmlformats.org/officeDocument/2006/relationships" ref="E29" r:id="rId51"/>
    <hyperlink xmlns:r="http://schemas.openxmlformats.org/officeDocument/2006/relationships" ref="F29" r:id="rId52"/>
    <hyperlink xmlns:r="http://schemas.openxmlformats.org/officeDocument/2006/relationships" ref="E30" r:id="rId53"/>
    <hyperlink xmlns:r="http://schemas.openxmlformats.org/officeDocument/2006/relationships" ref="F30" r:id="rId54"/>
    <hyperlink xmlns:r="http://schemas.openxmlformats.org/officeDocument/2006/relationships" ref="E31" r:id="rId55"/>
    <hyperlink xmlns:r="http://schemas.openxmlformats.org/officeDocument/2006/relationships" ref="F31" r:id="rId56"/>
    <hyperlink xmlns:r="http://schemas.openxmlformats.org/officeDocument/2006/relationships" ref="E32" r:id="rId57"/>
    <hyperlink xmlns:r="http://schemas.openxmlformats.org/officeDocument/2006/relationships" ref="F32" r:id="rId58"/>
    <hyperlink xmlns:r="http://schemas.openxmlformats.org/officeDocument/2006/relationships" ref="E33" r:id="rId59"/>
    <hyperlink xmlns:r="http://schemas.openxmlformats.org/officeDocument/2006/relationships" ref="F33" r:id="rId60"/>
    <hyperlink xmlns:r="http://schemas.openxmlformats.org/officeDocument/2006/relationships" ref="E34" r:id="rId61"/>
    <hyperlink xmlns:r="http://schemas.openxmlformats.org/officeDocument/2006/relationships" ref="F34" r:id="rId62"/>
    <hyperlink xmlns:r="http://schemas.openxmlformats.org/officeDocument/2006/relationships" ref="E35" r:id="rId63"/>
    <hyperlink xmlns:r="http://schemas.openxmlformats.org/officeDocument/2006/relationships" ref="F35" r:id="rId64"/>
    <hyperlink xmlns:r="http://schemas.openxmlformats.org/officeDocument/2006/relationships" ref="E36" r:id="rId65"/>
    <hyperlink xmlns:r="http://schemas.openxmlformats.org/officeDocument/2006/relationships" ref="F36" r:id="rId66"/>
    <hyperlink xmlns:r="http://schemas.openxmlformats.org/officeDocument/2006/relationships" ref="E37" r:id="rId67"/>
    <hyperlink xmlns:r="http://schemas.openxmlformats.org/officeDocument/2006/relationships" ref="F37" r:id="rId68"/>
    <hyperlink xmlns:r="http://schemas.openxmlformats.org/officeDocument/2006/relationships" ref="E38" r:id="rId69"/>
    <hyperlink xmlns:r="http://schemas.openxmlformats.org/officeDocument/2006/relationships" ref="F38" r:id="rId70"/>
    <hyperlink xmlns:r="http://schemas.openxmlformats.org/officeDocument/2006/relationships" ref="E39" r:id="rId71"/>
    <hyperlink xmlns:r="http://schemas.openxmlformats.org/officeDocument/2006/relationships" ref="F39" r:id="rId72"/>
    <hyperlink xmlns:r="http://schemas.openxmlformats.org/officeDocument/2006/relationships" ref="E40" r:id="rId73"/>
    <hyperlink xmlns:r="http://schemas.openxmlformats.org/officeDocument/2006/relationships" ref="F40" r:id="rId74"/>
    <hyperlink xmlns:r="http://schemas.openxmlformats.org/officeDocument/2006/relationships" ref="E41" r:id="rId75"/>
    <hyperlink xmlns:r="http://schemas.openxmlformats.org/officeDocument/2006/relationships" ref="F41" r:id="rId76"/>
    <hyperlink xmlns:r="http://schemas.openxmlformats.org/officeDocument/2006/relationships" ref="E42" r:id="rId77"/>
    <hyperlink xmlns:r="http://schemas.openxmlformats.org/officeDocument/2006/relationships" ref="F42" r:id="rId78"/>
    <hyperlink xmlns:r="http://schemas.openxmlformats.org/officeDocument/2006/relationships" ref="E43" r:id="rId79"/>
    <hyperlink xmlns:r="http://schemas.openxmlformats.org/officeDocument/2006/relationships" ref="F43" r:id="rId80"/>
    <hyperlink xmlns:r="http://schemas.openxmlformats.org/officeDocument/2006/relationships" ref="E44" r:id="rId81"/>
    <hyperlink xmlns:r="http://schemas.openxmlformats.org/officeDocument/2006/relationships" ref="F44" r:id="rId82"/>
    <hyperlink xmlns:r="http://schemas.openxmlformats.org/officeDocument/2006/relationships" ref="E45" r:id="rId83"/>
    <hyperlink xmlns:r="http://schemas.openxmlformats.org/officeDocument/2006/relationships" ref="F45" r:id="rId84"/>
    <hyperlink xmlns:r="http://schemas.openxmlformats.org/officeDocument/2006/relationships" ref="E46" r:id="rId85"/>
    <hyperlink xmlns:r="http://schemas.openxmlformats.org/officeDocument/2006/relationships" ref="F46" r:id="rId86"/>
    <hyperlink xmlns:r="http://schemas.openxmlformats.org/officeDocument/2006/relationships" ref="E47" r:id="rId87"/>
    <hyperlink xmlns:r="http://schemas.openxmlformats.org/officeDocument/2006/relationships" ref="F47" r:id="rId88"/>
    <hyperlink xmlns:r="http://schemas.openxmlformats.org/officeDocument/2006/relationships" ref="E48" r:id="rId89"/>
    <hyperlink xmlns:r="http://schemas.openxmlformats.org/officeDocument/2006/relationships" ref="F48" r:id="rId90"/>
    <hyperlink xmlns:r="http://schemas.openxmlformats.org/officeDocument/2006/relationships" ref="E49" r:id="rId91"/>
    <hyperlink xmlns:r="http://schemas.openxmlformats.org/officeDocument/2006/relationships" ref="F49" r:id="rId92"/>
    <hyperlink xmlns:r="http://schemas.openxmlformats.org/officeDocument/2006/relationships" ref="E50" r:id="rId93"/>
    <hyperlink xmlns:r="http://schemas.openxmlformats.org/officeDocument/2006/relationships" ref="F50" r:id="rId94"/>
    <hyperlink xmlns:r="http://schemas.openxmlformats.org/officeDocument/2006/relationships" ref="E51" r:id="rId95"/>
    <hyperlink xmlns:r="http://schemas.openxmlformats.org/officeDocument/2006/relationships" ref="F51" r:id="rId96"/>
    <hyperlink xmlns:r="http://schemas.openxmlformats.org/officeDocument/2006/relationships" ref="E52" r:id="rId97"/>
    <hyperlink xmlns:r="http://schemas.openxmlformats.org/officeDocument/2006/relationships" ref="F52" r:id="rId98"/>
    <hyperlink xmlns:r="http://schemas.openxmlformats.org/officeDocument/2006/relationships" ref="E53" r:id="rId99"/>
    <hyperlink xmlns:r="http://schemas.openxmlformats.org/officeDocument/2006/relationships" ref="F53" r:id="rId100"/>
    <hyperlink xmlns:r="http://schemas.openxmlformats.org/officeDocument/2006/relationships" ref="E54" r:id="rId101"/>
    <hyperlink xmlns:r="http://schemas.openxmlformats.org/officeDocument/2006/relationships" ref="F54" r:id="rId102"/>
    <hyperlink xmlns:r="http://schemas.openxmlformats.org/officeDocument/2006/relationships" ref="E55" r:id="rId103"/>
    <hyperlink xmlns:r="http://schemas.openxmlformats.org/officeDocument/2006/relationships" ref="F55" r:id="rId104"/>
    <hyperlink xmlns:r="http://schemas.openxmlformats.org/officeDocument/2006/relationships" ref="E56" r:id="rId105"/>
    <hyperlink xmlns:r="http://schemas.openxmlformats.org/officeDocument/2006/relationships" ref="F56" r:id="rId106"/>
    <hyperlink xmlns:r="http://schemas.openxmlformats.org/officeDocument/2006/relationships" ref="E57" r:id="rId107"/>
    <hyperlink xmlns:r="http://schemas.openxmlformats.org/officeDocument/2006/relationships" ref="F57" r:id="rId108"/>
    <hyperlink xmlns:r="http://schemas.openxmlformats.org/officeDocument/2006/relationships" ref="E58" r:id="rId109"/>
    <hyperlink xmlns:r="http://schemas.openxmlformats.org/officeDocument/2006/relationships" ref="F58" r:id="rId110"/>
    <hyperlink xmlns:r="http://schemas.openxmlformats.org/officeDocument/2006/relationships" ref="E59" r:id="rId111"/>
    <hyperlink xmlns:r="http://schemas.openxmlformats.org/officeDocument/2006/relationships" ref="F59" r:id="rId112"/>
    <hyperlink xmlns:r="http://schemas.openxmlformats.org/officeDocument/2006/relationships" ref="E60" r:id="rId113"/>
    <hyperlink xmlns:r="http://schemas.openxmlformats.org/officeDocument/2006/relationships" ref="F60" r:id="rId114"/>
    <hyperlink xmlns:r="http://schemas.openxmlformats.org/officeDocument/2006/relationships" ref="E61" r:id="rId115"/>
    <hyperlink xmlns:r="http://schemas.openxmlformats.org/officeDocument/2006/relationships" ref="F61" r:id="rId116"/>
    <hyperlink xmlns:r="http://schemas.openxmlformats.org/officeDocument/2006/relationships" ref="E62" r:id="rId117"/>
    <hyperlink xmlns:r="http://schemas.openxmlformats.org/officeDocument/2006/relationships" ref="F62" r:id="rId118"/>
    <hyperlink xmlns:r="http://schemas.openxmlformats.org/officeDocument/2006/relationships" ref="E63" r:id="rId119"/>
    <hyperlink xmlns:r="http://schemas.openxmlformats.org/officeDocument/2006/relationships" ref="F63" r:id="rId120"/>
    <hyperlink xmlns:r="http://schemas.openxmlformats.org/officeDocument/2006/relationships" ref="E64" r:id="rId121"/>
    <hyperlink xmlns:r="http://schemas.openxmlformats.org/officeDocument/2006/relationships" ref="F64" r:id="rId122"/>
    <hyperlink xmlns:r="http://schemas.openxmlformats.org/officeDocument/2006/relationships" ref="E65" r:id="rId123"/>
    <hyperlink xmlns:r="http://schemas.openxmlformats.org/officeDocument/2006/relationships" ref="F65" r:id="rId124"/>
    <hyperlink xmlns:r="http://schemas.openxmlformats.org/officeDocument/2006/relationships" ref="E66" r:id="rId125"/>
    <hyperlink xmlns:r="http://schemas.openxmlformats.org/officeDocument/2006/relationships" ref="F66" r:id="rId126"/>
    <hyperlink xmlns:r="http://schemas.openxmlformats.org/officeDocument/2006/relationships" ref="E67" r:id="rId127"/>
    <hyperlink xmlns:r="http://schemas.openxmlformats.org/officeDocument/2006/relationships" ref="F67" r:id="rId128"/>
    <hyperlink xmlns:r="http://schemas.openxmlformats.org/officeDocument/2006/relationships" ref="E68" r:id="rId129"/>
    <hyperlink xmlns:r="http://schemas.openxmlformats.org/officeDocument/2006/relationships" ref="F68" r:id="rId130"/>
    <hyperlink xmlns:r="http://schemas.openxmlformats.org/officeDocument/2006/relationships" ref="E69" r:id="rId131"/>
    <hyperlink xmlns:r="http://schemas.openxmlformats.org/officeDocument/2006/relationships" ref="F69" r:id="rId132"/>
    <hyperlink xmlns:r="http://schemas.openxmlformats.org/officeDocument/2006/relationships" ref="E70" r:id="rId133"/>
    <hyperlink xmlns:r="http://schemas.openxmlformats.org/officeDocument/2006/relationships" ref="F70" r:id="rId134"/>
    <hyperlink xmlns:r="http://schemas.openxmlformats.org/officeDocument/2006/relationships" ref="E71" r:id="rId135"/>
    <hyperlink xmlns:r="http://schemas.openxmlformats.org/officeDocument/2006/relationships" ref="F71" r:id="rId136"/>
    <hyperlink xmlns:r="http://schemas.openxmlformats.org/officeDocument/2006/relationships" ref="E72" r:id="rId137"/>
    <hyperlink xmlns:r="http://schemas.openxmlformats.org/officeDocument/2006/relationships" ref="F72" r:id="rId138"/>
    <hyperlink xmlns:r="http://schemas.openxmlformats.org/officeDocument/2006/relationships" ref="E73" r:id="rId139"/>
    <hyperlink xmlns:r="http://schemas.openxmlformats.org/officeDocument/2006/relationships" ref="F73" r:id="rId140"/>
    <hyperlink xmlns:r="http://schemas.openxmlformats.org/officeDocument/2006/relationships" ref="E74" r:id="rId141"/>
    <hyperlink xmlns:r="http://schemas.openxmlformats.org/officeDocument/2006/relationships" ref="F74" r:id="rId142"/>
    <hyperlink xmlns:r="http://schemas.openxmlformats.org/officeDocument/2006/relationships" ref="E75" r:id="rId143"/>
    <hyperlink xmlns:r="http://schemas.openxmlformats.org/officeDocument/2006/relationships" ref="F75" r:id="rId144"/>
    <hyperlink xmlns:r="http://schemas.openxmlformats.org/officeDocument/2006/relationships" ref="E76" r:id="rId145"/>
    <hyperlink xmlns:r="http://schemas.openxmlformats.org/officeDocument/2006/relationships" ref="F76" r:id="rId146"/>
    <hyperlink xmlns:r="http://schemas.openxmlformats.org/officeDocument/2006/relationships" ref="E77" r:id="rId147"/>
    <hyperlink xmlns:r="http://schemas.openxmlformats.org/officeDocument/2006/relationships" ref="F77" r:id="rId148"/>
    <hyperlink xmlns:r="http://schemas.openxmlformats.org/officeDocument/2006/relationships" ref="E78" r:id="rId149"/>
    <hyperlink xmlns:r="http://schemas.openxmlformats.org/officeDocument/2006/relationships" ref="F78" r:id="rId150"/>
    <hyperlink xmlns:r="http://schemas.openxmlformats.org/officeDocument/2006/relationships" ref="E79" r:id="rId151"/>
    <hyperlink xmlns:r="http://schemas.openxmlformats.org/officeDocument/2006/relationships" ref="F79" r:id="rId152"/>
    <hyperlink xmlns:r="http://schemas.openxmlformats.org/officeDocument/2006/relationships" ref="E80" r:id="rId153"/>
    <hyperlink xmlns:r="http://schemas.openxmlformats.org/officeDocument/2006/relationships" ref="F80" r:id="rId154"/>
    <hyperlink xmlns:r="http://schemas.openxmlformats.org/officeDocument/2006/relationships" ref="E81" r:id="rId155"/>
    <hyperlink xmlns:r="http://schemas.openxmlformats.org/officeDocument/2006/relationships" ref="F81" r:id="rId156"/>
    <hyperlink xmlns:r="http://schemas.openxmlformats.org/officeDocument/2006/relationships" ref="E82" r:id="rId157"/>
    <hyperlink xmlns:r="http://schemas.openxmlformats.org/officeDocument/2006/relationships" ref="F82" r:id="rId158"/>
    <hyperlink xmlns:r="http://schemas.openxmlformats.org/officeDocument/2006/relationships" ref="E83" r:id="rId159"/>
    <hyperlink xmlns:r="http://schemas.openxmlformats.org/officeDocument/2006/relationships" ref="F83" r:id="rId160"/>
    <hyperlink xmlns:r="http://schemas.openxmlformats.org/officeDocument/2006/relationships" ref="E84" r:id="rId161"/>
    <hyperlink xmlns:r="http://schemas.openxmlformats.org/officeDocument/2006/relationships" ref="F84" r:id="rId162"/>
    <hyperlink xmlns:r="http://schemas.openxmlformats.org/officeDocument/2006/relationships" ref="E85" r:id="rId163"/>
    <hyperlink xmlns:r="http://schemas.openxmlformats.org/officeDocument/2006/relationships" ref="F85" r:id="rId164"/>
    <hyperlink xmlns:r="http://schemas.openxmlformats.org/officeDocument/2006/relationships" ref="E86" r:id="rId165"/>
    <hyperlink xmlns:r="http://schemas.openxmlformats.org/officeDocument/2006/relationships" ref="F86" r:id="rId166"/>
    <hyperlink xmlns:r="http://schemas.openxmlformats.org/officeDocument/2006/relationships" ref="E87" r:id="rId167"/>
    <hyperlink xmlns:r="http://schemas.openxmlformats.org/officeDocument/2006/relationships" ref="F87" r:id="rId168"/>
    <hyperlink xmlns:r="http://schemas.openxmlformats.org/officeDocument/2006/relationships" ref="E88" r:id="rId169"/>
    <hyperlink xmlns:r="http://schemas.openxmlformats.org/officeDocument/2006/relationships" ref="F88" r:id="rId170"/>
    <hyperlink xmlns:r="http://schemas.openxmlformats.org/officeDocument/2006/relationships" ref="E89" r:id="rId171"/>
    <hyperlink xmlns:r="http://schemas.openxmlformats.org/officeDocument/2006/relationships" ref="F89" r:id="rId172"/>
    <hyperlink xmlns:r="http://schemas.openxmlformats.org/officeDocument/2006/relationships" ref="E90" r:id="rId173"/>
    <hyperlink xmlns:r="http://schemas.openxmlformats.org/officeDocument/2006/relationships" ref="F90" r:id="rId174"/>
    <hyperlink xmlns:r="http://schemas.openxmlformats.org/officeDocument/2006/relationships" ref="E91" r:id="rId175"/>
    <hyperlink xmlns:r="http://schemas.openxmlformats.org/officeDocument/2006/relationships" ref="F91" r:id="rId176"/>
    <hyperlink xmlns:r="http://schemas.openxmlformats.org/officeDocument/2006/relationships" ref="E92" r:id="rId177"/>
    <hyperlink xmlns:r="http://schemas.openxmlformats.org/officeDocument/2006/relationships" ref="F92" r:id="rId178"/>
    <hyperlink xmlns:r="http://schemas.openxmlformats.org/officeDocument/2006/relationships" ref="E93" r:id="rId179"/>
    <hyperlink xmlns:r="http://schemas.openxmlformats.org/officeDocument/2006/relationships" ref="F93" r:id="rId180"/>
    <hyperlink xmlns:r="http://schemas.openxmlformats.org/officeDocument/2006/relationships" ref="E94" r:id="rId181"/>
    <hyperlink xmlns:r="http://schemas.openxmlformats.org/officeDocument/2006/relationships" ref="F94" r:id="rId182"/>
    <hyperlink xmlns:r="http://schemas.openxmlformats.org/officeDocument/2006/relationships" ref="E95" r:id="rId183"/>
    <hyperlink xmlns:r="http://schemas.openxmlformats.org/officeDocument/2006/relationships" ref="F95" r:id="rId184"/>
    <hyperlink xmlns:r="http://schemas.openxmlformats.org/officeDocument/2006/relationships" ref="E96" r:id="rId185"/>
    <hyperlink xmlns:r="http://schemas.openxmlformats.org/officeDocument/2006/relationships" ref="F96" r:id="rId186"/>
    <hyperlink xmlns:r="http://schemas.openxmlformats.org/officeDocument/2006/relationships" ref="E97" r:id="rId187"/>
    <hyperlink xmlns:r="http://schemas.openxmlformats.org/officeDocument/2006/relationships" ref="F97" r:id="rId188"/>
    <hyperlink xmlns:r="http://schemas.openxmlformats.org/officeDocument/2006/relationships" ref="E98" r:id="rId189"/>
    <hyperlink xmlns:r="http://schemas.openxmlformats.org/officeDocument/2006/relationships" ref="F98" r:id="rId190"/>
    <hyperlink xmlns:r="http://schemas.openxmlformats.org/officeDocument/2006/relationships" ref="E99" r:id="rId191"/>
    <hyperlink xmlns:r="http://schemas.openxmlformats.org/officeDocument/2006/relationships" ref="F99" r:id="rId192"/>
    <hyperlink xmlns:r="http://schemas.openxmlformats.org/officeDocument/2006/relationships" ref="E100" r:id="rId193"/>
    <hyperlink xmlns:r="http://schemas.openxmlformats.org/officeDocument/2006/relationships" ref="F100" r:id="rId194"/>
    <hyperlink xmlns:r="http://schemas.openxmlformats.org/officeDocument/2006/relationships" ref="E101" r:id="rId195"/>
    <hyperlink xmlns:r="http://schemas.openxmlformats.org/officeDocument/2006/relationships" ref="F101" r:id="rId196"/>
    <hyperlink xmlns:r="http://schemas.openxmlformats.org/officeDocument/2006/relationships" ref="E102" r:id="rId197"/>
    <hyperlink xmlns:r="http://schemas.openxmlformats.org/officeDocument/2006/relationships" ref="F102" r:id="rId198"/>
    <hyperlink xmlns:r="http://schemas.openxmlformats.org/officeDocument/2006/relationships" ref="E103" r:id="rId199"/>
    <hyperlink xmlns:r="http://schemas.openxmlformats.org/officeDocument/2006/relationships" ref="F103" r:id="rId200"/>
    <hyperlink xmlns:r="http://schemas.openxmlformats.org/officeDocument/2006/relationships" ref="E104" r:id="rId201"/>
    <hyperlink xmlns:r="http://schemas.openxmlformats.org/officeDocument/2006/relationships" ref="F104" r:id="rId202"/>
    <hyperlink xmlns:r="http://schemas.openxmlformats.org/officeDocument/2006/relationships" ref="E105" r:id="rId203"/>
    <hyperlink xmlns:r="http://schemas.openxmlformats.org/officeDocument/2006/relationships" ref="F105" r:id="rId204"/>
    <hyperlink xmlns:r="http://schemas.openxmlformats.org/officeDocument/2006/relationships" ref="E106" r:id="rId205"/>
    <hyperlink xmlns:r="http://schemas.openxmlformats.org/officeDocument/2006/relationships" ref="F106" r:id="rId206"/>
    <hyperlink xmlns:r="http://schemas.openxmlformats.org/officeDocument/2006/relationships" ref="E107" r:id="rId207"/>
    <hyperlink xmlns:r="http://schemas.openxmlformats.org/officeDocument/2006/relationships" ref="F107" r:id="rId2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18"/>
  <sheetViews>
    <sheetView workbookViewId="0">
      <selection activeCell="A1" sqref="A1"/>
    </sheetView>
  </sheetViews>
  <sheetFormatPr baseColWidth="8" defaultRowHeight="15"/>
  <cols>
    <col width="3" customWidth="1" min="1" max="1"/>
    <col width="112" customWidth="1" min="2" max="2"/>
  </cols>
  <sheetData>
    <row r="1">
      <c r="B1" s="24" t="inlineStr">
        <is>
          <t>통합 시트 사용법 · 쿠팡 수수료 11.88% 기준</t>
        </is>
      </c>
    </row>
    <row r="2">
      <c r="B2" s="25" t="inlineStr"/>
    </row>
    <row r="3">
      <c r="B3" s="26" t="inlineStr">
        <is>
          <t>1. 앞쪽 열 (한눈에)</t>
        </is>
      </c>
    </row>
    <row r="4">
      <c r="B4" s="25" t="inlineStr">
        <is>
          <t>브랜드 · 키워드 · 모델명 · 다나와 매입가(국내최저) · 다나와 URL · 쿠팡 URL · 쿠팡 판매가 → 그 뒤 예상마진/마진율/마진≥10원 판정.</t>
        </is>
      </c>
    </row>
    <row r="5">
      <c r="B5" s="25" t="inlineStr">
        <is>
          <t>A~G열은 화면 고정되어 오른쪽 스크롤해도 항상 보입니다.</t>
        </is>
      </c>
    </row>
    <row r="6">
      <c r="B6" s="26" t="inlineStr">
        <is>
          <t>2. 마진 계산 (사용자 지정: 쿠팡 수수료 11.88%)</t>
        </is>
      </c>
    </row>
    <row r="7">
      <c r="B7" s="25" t="inlineStr">
        <is>
          <t>예상마진 = 쿠팡 판매가 − 다나와 매입가 − 쿠팡 판매가 × 11.88% − 택배비(기본 0).</t>
        </is>
      </c>
    </row>
    <row r="8">
      <c r="B8" s="25" t="inlineStr">
        <is>
          <t>'마진≥10원?': 예상마진 ≥10원이면 ✅마진OK(초록), 미만이면 ❌미달(빨강), 쿠팡가 없으면 '위너가필요'.</t>
        </is>
      </c>
    </row>
    <row r="9">
      <c r="B9" s="25" t="inlineStr">
        <is>
          <t>손익분기 쿠팡가 = 매입가 / 0.8812. 쿠팡 위너가가 이 값보다 높아야 마진이 남습니다.</t>
        </is>
      </c>
    </row>
    <row r="10">
      <c r="B10" s="26" t="inlineStr">
        <is>
          <t>3. 쿠팡 판매가 (파란 셀)</t>
        </is>
      </c>
    </row>
    <row r="11">
      <c r="B11" s="25" t="inlineStr">
        <is>
          <t>일부 모델은 업로드 파일에서 실측된 쿠팡가가 이미 들어 있음(파란 배경). 빈칸은 쿠팡 로그인으로 위너가 확인해 입력 → 마진 자동계산.</t>
        </is>
      </c>
    </row>
    <row r="12">
      <c r="B12" s="25" t="inlineStr">
        <is>
          <t>쿠팡은 봇차단으로 자동취득 불가라 미확인분은 비워둠(추정 안 함).</t>
        </is>
      </c>
    </row>
    <row r="13">
      <c r="B13" s="26" t="inlineStr">
        <is>
          <t>4. 소싱 규칙 반영</t>
        </is>
      </c>
    </row>
    <row r="14">
      <c r="B14" s="25" t="inlineStr">
        <is>
          <t>· 해외배송/해외직구 = 제외(판매자점수 리스크). · 품절 = 제외. · 카드전용가 = 기본가 기준(비고).</t>
        </is>
      </c>
    </row>
    <row r="15">
      <c r="B15" s="25" t="inlineStr">
        <is>
          <t>· 소싱 비고 '쿠팡이최저' = 다나와 최저가가 쿠팡 자신 → 매입-재판매 마진 없음, 소싱 부적합.</t>
        </is>
      </c>
    </row>
    <row r="16">
      <c r="B16" s="25" t="inlineStr">
        <is>
          <t>· 위너 배송형태 로켓형(빨강) = 일반 판매자배송 경쟁 불리 → 제외 대상.</t>
        </is>
      </c>
    </row>
    <row r="17">
      <c r="B17" s="26" t="inlineStr">
        <is>
          <t>5. 데이터 출처 / 보존</t>
        </is>
      </c>
    </row>
    <row r="18">
      <c r="B18" s="25" t="inlineStr">
        <is>
          <t>'데이터출처' 열로 각 행 근거 표시. 원본 업로드 실측표는 '쿠팡실측_업로드원본' 탭에 그대로 보존.</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7"/>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6" customWidth="1" min="3" max="3"/>
    <col width="11" customWidth="1" min="4" max="4"/>
    <col width="9" customWidth="1" min="5" max="5"/>
    <col width="14" customWidth="1" min="6" max="6"/>
    <col width="14" customWidth="1" min="7" max="7"/>
    <col width="11" customWidth="1" min="8" max="8"/>
    <col width="8" customWidth="1" min="9" max="9"/>
    <col width="18" customWidth="1" min="10" max="10"/>
    <col width="34" customWidth="1" min="11" max="11"/>
    <col width="30" customWidth="1" min="12" max="12"/>
    <col width="30" customWidth="1" min="13" max="13"/>
  </cols>
  <sheetData>
    <row r="1">
      <c r="A1" s="6" t="inlineStr">
        <is>
          <t>브랜드</t>
        </is>
      </c>
      <c r="B1" s="6" t="inlineStr">
        <is>
          <t>모델(원문)</t>
        </is>
      </c>
      <c r="C1" s="6" t="inlineStr">
        <is>
          <t>용량</t>
        </is>
      </c>
      <c r="D1" s="6" t="inlineStr">
        <is>
          <t>쿠팡가(실측)</t>
        </is>
      </c>
      <c r="E1" s="6" t="inlineStr">
        <is>
          <t>쿠팡리뷰수</t>
        </is>
      </c>
      <c r="F1" s="6" t="inlineStr">
        <is>
          <t>위너배송형태</t>
        </is>
      </c>
      <c r="G1" s="6" t="inlineStr">
        <is>
          <t>현재판매자</t>
        </is>
      </c>
      <c r="H1" s="6" t="inlineStr">
        <is>
          <t>다나와가</t>
        </is>
      </c>
      <c r="I1" s="6" t="inlineStr">
        <is>
          <t>상태</t>
        </is>
      </c>
      <c r="J1" s="6" t="inlineStr">
        <is>
          <t>추천판정</t>
        </is>
      </c>
      <c r="K1" s="6" t="inlineStr">
        <is>
          <t>핵심사유</t>
        </is>
      </c>
      <c r="L1" s="6" t="inlineStr">
        <is>
          <t>쿠팡URL</t>
        </is>
      </c>
      <c r="M1" s="6" t="inlineStr">
        <is>
          <t>다나와URL</t>
        </is>
      </c>
    </row>
    <row r="2">
      <c r="A2" s="27" t="inlineStr">
        <is>
          <t>캐리어</t>
        </is>
      </c>
      <c r="B2" s="28" t="inlineStr">
        <is>
          <t>CDHC-160AYLLOYH (상세 재확인)</t>
        </is>
      </c>
      <c r="C2" s="27" t="n">
        <v>16</v>
      </c>
      <c r="D2" s="29" t="n">
        <v>253000</v>
      </c>
      <c r="E2" s="27" t="n">
        <v>389</v>
      </c>
      <c r="F2" s="27" t="inlineStr">
        <is>
          <t>일반 판매자배송 정황</t>
        </is>
      </c>
      <c r="G2" s="28" t="inlineStr">
        <is>
          <t>생로랑</t>
        </is>
      </c>
      <c r="H2" s="29" t="n"/>
      <c r="I2" s="27" t="inlineStr">
        <is>
          <t>검증보류</t>
        </is>
      </c>
      <c r="J2" s="27" t="inlineStr">
        <is>
          <t>수동검증 후 1~3개 테스트</t>
        </is>
      </c>
      <c r="K2" s="28" t="inlineStr">
        <is>
          <t>리뷰·가격대·장마철 용량은 양호. 다나와 실제 결제가와 동일 카탈로그 판매자 수를 먼저 확인.</t>
        </is>
      </c>
      <c r="L2" s="28" t="inlineStr">
        <is>
          <t>https://www.coupang.com/vp/products/8051673398</t>
        </is>
      </c>
      <c r="M2" s="28" t="inlineStr">
        <is>
          <t>https://search.danawa.com/dsearch.php?k1=CDHC-160AYLLOYH</t>
        </is>
      </c>
    </row>
    <row r="3">
      <c r="A3" s="27" t="inlineStr">
        <is>
          <t>위니아</t>
        </is>
      </c>
      <c r="B3" s="28" t="inlineStr">
        <is>
          <t>EDH10HNW(A)</t>
        </is>
      </c>
      <c r="C3" s="27" t="n">
        <v>10</v>
      </c>
      <c r="D3" s="29" t="n">
        <v>199000</v>
      </c>
      <c r="E3" s="27" t="n">
        <v>232</v>
      </c>
      <c r="F3" s="27" t="inlineStr">
        <is>
          <t>일반 판매자배송</t>
        </is>
      </c>
      <c r="G3" s="28" t="inlineStr">
        <is>
          <t>(주)이림</t>
        </is>
      </c>
      <c r="H3" s="29" t="n"/>
      <c r="I3" s="27" t="inlineStr">
        <is>
          <t>검증보류</t>
        </is>
      </c>
      <c r="J3" s="27" t="inlineStr">
        <is>
          <t>소싱가 확인 후 테스트</t>
        </is>
      </c>
      <c r="K3" s="28" t="inlineStr">
        <is>
          <t>10L 원룸·옷방 수요형. 판매자 수와 다나와 배송포함가가 확인되기 전 매입 금지.</t>
        </is>
      </c>
      <c r="L3" s="28" t="inlineStr">
        <is>
          <t>https://www.coupang.com/vp/products/7360336252</t>
        </is>
      </c>
      <c r="M3" s="28" t="inlineStr">
        <is>
          <t>https://search.danawa.com/dsearch.php?k1=EDH10HNW</t>
        </is>
      </c>
    </row>
    <row r="4">
      <c r="A4" s="27" t="inlineStr">
        <is>
          <t>LG전자</t>
        </is>
      </c>
      <c r="B4" s="28" t="inlineStr">
        <is>
          <t>DQ160PPBC</t>
        </is>
      </c>
      <c r="C4" s="27" t="n">
        <v>16</v>
      </c>
      <c r="D4" s="29" t="n">
        <v>649000</v>
      </c>
      <c r="E4" s="27" t="n">
        <v>679</v>
      </c>
      <c r="F4" s="27" t="inlineStr">
        <is>
          <t>일반 판매자배송/설치일 지정</t>
        </is>
      </c>
      <c r="G4" s="28" t="inlineStr">
        <is>
          <t>하나로가전</t>
        </is>
      </c>
      <c r="H4" s="29" t="n"/>
      <c r="I4" s="27" t="inlineStr">
        <is>
          <t>검증보류</t>
        </is>
      </c>
      <c r="J4" s="27" t="inlineStr">
        <is>
          <t>고가·반품비 검토 후 테스트</t>
        </is>
      </c>
      <c r="K4" s="28" t="inlineStr">
        <is>
          <t>리뷰 수는 강하지만 고가 제품이라 반품·가격변동 손실이 큼. 공급가 격차가 충분할 때만 진행.</t>
        </is>
      </c>
      <c r="L4" s="28" t="inlineStr">
        <is>
          <t>https://www.coupang.com/vp/products/1434711781</t>
        </is>
      </c>
      <c r="M4" s="28" t="inlineStr">
        <is>
          <t>https://search.danawa.com/dsearch.php?k1=DQ160PPBC</t>
        </is>
      </c>
    </row>
    <row r="5">
      <c r="A5" s="27" t="inlineStr">
        <is>
          <t>캐리어</t>
        </is>
      </c>
      <c r="B5" s="28" t="inlineStr">
        <is>
          <t>모델번호 미노출</t>
        </is>
      </c>
      <c r="C5" s="27" t="n">
        <v>16</v>
      </c>
      <c r="D5" s="29" t="n">
        <v>253000</v>
      </c>
      <c r="E5" s="27" t="n">
        <v>165</v>
      </c>
      <c r="F5" s="27" t="inlineStr">
        <is>
          <t>일반 판매자배송</t>
        </is>
      </c>
      <c r="G5" s="28" t="inlineStr">
        <is>
          <t>(주)동명에스앤디</t>
        </is>
      </c>
      <c r="H5" s="29" t="n"/>
      <c r="I5" s="27" t="inlineStr">
        <is>
          <t>검증보류</t>
        </is>
      </c>
      <c r="J5" s="27" t="inlineStr">
        <is>
          <t>모델번호 확인 전 등록 금지</t>
        </is>
      </c>
      <c r="K5" s="28" t="inlineStr">
        <is>
          <t>동일 가격대의 다른 판매 URL. 모델번호가 확인되지 않아 기존 카탈로그 매칭은 위험.</t>
        </is>
      </c>
      <c r="L5" s="28" t="inlineStr">
        <is>
          <t>https://www.coupang.com/vp/products/9478744145</t>
        </is>
      </c>
      <c r="M5" s="28" t="inlineStr">
        <is>
          <t>https://search.danawa.com/dsearch.php?k1=%EC%BA%90%EB%A6%AC%EC%96%B4+16L+1%EB%93%B1%EA%B8%89+%EC%A0%9C%EC%8A%B5%EA%B8%B0</t>
        </is>
      </c>
    </row>
    <row r="6">
      <c r="A6" s="27" t="inlineStr">
        <is>
          <t>위닉스</t>
        </is>
      </c>
      <c r="B6" s="28" t="inlineStr">
        <is>
          <t>모델번호 미노출</t>
        </is>
      </c>
      <c r="C6" s="27" t="n">
        <v>16</v>
      </c>
      <c r="D6" s="29" t="n">
        <v>640100</v>
      </c>
      <c r="E6" s="27" t="n">
        <v>2114</v>
      </c>
      <c r="F6" s="27" t="inlineStr">
        <is>
          <t>일반 판매자배송</t>
        </is>
      </c>
      <c r="G6" s="28" t="inlineStr">
        <is>
          <t>다모여통상</t>
        </is>
      </c>
      <c r="H6" s="29" t="n"/>
      <c r="I6" s="27" t="inlineStr">
        <is>
          <t>검증보류</t>
        </is>
      </c>
      <c r="J6" s="27" t="inlineStr">
        <is>
          <t>모델 식별 후 가격 재검증</t>
        </is>
      </c>
      <c r="K6" s="28" t="inlineStr">
        <is>
          <t>리뷰는 매우 많지만 가격이 비정상적으로 높고 모델번호가 없어 소싱 기준으로 바로 사용하면 안 됨.</t>
        </is>
      </c>
      <c r="L6" s="28" t="inlineStr">
        <is>
          <t>https://www.coupang.com/vp/products/7887360211?itemId=21583749676&amp;vendorItemId=94950976792</t>
        </is>
      </c>
      <c r="M6" s="28" t="inlineStr">
        <is>
          <t>https://search.danawa.com/dsearch.php?k1=%EC%9C%84%EB%8B%89%EC%8A%A4+16L+%EC%A0%9C%EC%8A%B5%EA%B8%B0</t>
        </is>
      </c>
    </row>
    <row r="7">
      <c r="A7" s="27" t="inlineStr">
        <is>
          <t>어라운드</t>
        </is>
      </c>
      <c r="B7" s="28" t="inlineStr">
        <is>
          <t>모델번호 미노출</t>
        </is>
      </c>
      <c r="C7" s="27" t="n">
        <v>12</v>
      </c>
      <c r="D7" s="29" t="n">
        <v>159000</v>
      </c>
      <c r="E7" s="27" t="n">
        <v>279</v>
      </c>
      <c r="F7" s="27" t="inlineStr">
        <is>
          <t>일반 판매자배송</t>
        </is>
      </c>
      <c r="G7" s="28" t="inlineStr">
        <is>
          <t>(주)인더스</t>
        </is>
      </c>
      <c r="H7" s="29" t="n"/>
      <c r="I7" s="27" t="inlineStr">
        <is>
          <t>검증보류</t>
        </is>
      </c>
      <c r="J7" s="27" t="inlineStr">
        <is>
          <t>OEM 모델 식별 전 보류</t>
        </is>
      </c>
      <c r="K7" s="28" t="inlineStr">
        <is>
          <t>원룸·빨래건조 수요는 적합하지만 모델번호가 없어 동일상품 매칭 안전성이 낮음.</t>
        </is>
      </c>
      <c r="L7" s="28" t="inlineStr">
        <is>
          <t>https://www.coupang.com/vp/products/6714245064</t>
        </is>
      </c>
      <c r="M7" s="28" t="inlineStr">
        <is>
          <t>https://search.danawa.com/dsearch.php?k1=%EC%96%B4%EB%9D%BC%EC%9A%B4%EB%93%9C+12L+%EC%A0%9C%EC%8A%B5%EA%B8%B0</t>
        </is>
      </c>
    </row>
    <row r="8">
      <c r="A8" s="27" t="inlineStr">
        <is>
          <t>위닉스</t>
        </is>
      </c>
      <c r="B8" s="28" t="inlineStr">
        <is>
          <t>DXTE120-MPK (매칭 재확인)</t>
        </is>
      </c>
      <c r="C8" s="27" t="n">
        <v>12</v>
      </c>
      <c r="D8" s="29" t="n">
        <v>240010</v>
      </c>
      <c r="E8" s="27" t="n">
        <v>102</v>
      </c>
      <c r="F8" s="27" t="inlineStr">
        <is>
          <t>일반 판매자배송</t>
        </is>
      </c>
      <c r="G8" s="28" t="inlineStr">
        <is>
          <t>주식회사 지알아이티</t>
        </is>
      </c>
      <c r="H8" s="29" t="n">
        <v>212870</v>
      </c>
      <c r="I8" s="27" t="inlineStr">
        <is>
          <t>제외</t>
        </is>
      </c>
      <c r="J8" s="27" t="inlineStr">
        <is>
          <t>마진 부족으로 제외</t>
        </is>
      </c>
      <c r="K8" s="28" t="inlineStr">
        <is>
          <t>17% 변동비 가정 시 예상 순이익이 음수. 모델 매칭까지 완전 확인되지 않아 소싱 부적합.</t>
        </is>
      </c>
      <c r="L8" s="28" t="inlineStr">
        <is>
          <t>https://www.coupang.com/vp/products/8542726381</t>
        </is>
      </c>
      <c r="M8" s="28" t="inlineStr">
        <is>
          <t>https://prod.danawa.com/info/?cate=1022575&amp;pcode=122726309</t>
        </is>
      </c>
    </row>
    <row r="9">
      <c r="A9" s="27" t="inlineStr">
        <is>
          <t>LG전자</t>
        </is>
      </c>
      <c r="B9" s="28" t="inlineStr">
        <is>
          <t>DQ205PSVA</t>
        </is>
      </c>
      <c r="C9" s="27" t="n">
        <v>20</v>
      </c>
      <c r="D9" s="29" t="n">
        <v>546440</v>
      </c>
      <c r="E9" s="27" t="n">
        <v>0</v>
      </c>
      <c r="F9" s="27" t="inlineStr">
        <is>
          <t>일반 판매자배송</t>
        </is>
      </c>
      <c r="G9" s="28" t="inlineStr">
        <is>
          <t>CJ ONSTYLE</t>
        </is>
      </c>
      <c r="H9" s="29" t="n">
        <v>402170</v>
      </c>
      <c r="I9" s="27" t="inlineStr">
        <is>
          <t>제외</t>
        </is>
      </c>
      <c r="J9" s="27" t="inlineStr">
        <is>
          <t>리뷰 기준 미달</t>
        </is>
      </c>
      <c r="K9" s="28" t="inlineStr">
        <is>
          <t>가격 차이는 있으나 상품평 30개 미만으로 사용자 기준 탈락.</t>
        </is>
      </c>
      <c r="L9" s="28" t="inlineStr">
        <is>
          <t>https://www.coupang.com/vp/products/9100360785</t>
        </is>
      </c>
      <c r="M9" s="28" t="inlineStr">
        <is>
          <t>https://prod.danawa.com/info/?cate=1022575&amp;pcode=77016020</t>
        </is>
      </c>
    </row>
    <row r="10">
      <c r="A10" s="27" t="inlineStr">
        <is>
          <t>위닉스</t>
        </is>
      </c>
      <c r="B10" s="28" t="inlineStr">
        <is>
          <t>DO2E160-JWK</t>
        </is>
      </c>
      <c r="C10" s="27" t="n">
        <v>16</v>
      </c>
      <c r="D10" s="29" t="n"/>
      <c r="E10" s="27" t="n">
        <v>0</v>
      </c>
      <c r="F10" s="27" t="inlineStr">
        <is>
          <t>판매 정보 부족</t>
        </is>
      </c>
      <c r="G10" s="28" t="n"/>
      <c r="H10" s="29" t="n">
        <v>289000</v>
      </c>
      <c r="I10" s="27" t="inlineStr">
        <is>
          <t>제외</t>
        </is>
      </c>
      <c r="J10" s="27" t="inlineStr">
        <is>
          <t>리뷰 기준 미달</t>
        </is>
      </c>
      <c r="K10" s="28" t="inlineStr">
        <is>
          <t>쿠팡 상품평이 없어 검증 상품 조건에 맞지 않음.</t>
        </is>
      </c>
      <c r="L10" s="28" t="inlineStr">
        <is>
          <t>https://www.coupang.com/vp/products/8700448063?itemId=25264814625&amp;vendorItemId=92260639144</t>
        </is>
      </c>
      <c r="M10" s="28" t="inlineStr">
        <is>
          <t>https://prod.danawa.com/info/?cate=1022575&amp;pcode=12016142</t>
        </is>
      </c>
    </row>
    <row r="11">
      <c r="A11" s="27" t="inlineStr">
        <is>
          <t>한경희</t>
        </is>
      </c>
      <c r="B11" s="28" t="inlineStr">
        <is>
          <t>HE-D720W</t>
        </is>
      </c>
      <c r="C11" s="27" t="n">
        <v>20</v>
      </c>
      <c r="D11" s="29" t="n">
        <v>198550</v>
      </c>
      <c r="E11" s="27" t="n">
        <v>316</v>
      </c>
      <c r="F11" s="27" t="inlineStr">
        <is>
          <t>내일 새벽 도착(로켓형)</t>
        </is>
      </c>
      <c r="G11" s="28" t="inlineStr">
        <is>
          <t>하이앤드지점</t>
        </is>
      </c>
      <c r="H11" s="29" t="n"/>
      <c r="I11" s="27" t="inlineStr">
        <is>
          <t>제외</t>
        </is>
      </c>
      <c r="J11" s="27" t="inlineStr">
        <is>
          <t>로켓형 위너 제외</t>
        </is>
      </c>
      <c r="K11" s="28" t="inlineStr">
        <is>
          <t>현재 배송 조건이 일반 판매자배송 경쟁에 불리하므로 사용자 요청에 따라 제외.</t>
        </is>
      </c>
      <c r="L11" s="28" t="inlineStr">
        <is>
          <t>https://www.coupang.com/vp/products/9461649474</t>
        </is>
      </c>
      <c r="M11" s="28" t="inlineStr">
        <is>
          <t>https://search.danawa.com/dsearch.php?k1=HE-D720W</t>
        </is>
      </c>
    </row>
    <row r="12">
      <c r="A12" s="27" t="inlineStr">
        <is>
          <t>씽크에어</t>
        </is>
      </c>
      <c r="B12" s="28" t="inlineStr">
        <is>
          <t>모델번호 미노출</t>
        </is>
      </c>
      <c r="C12" s="27" t="n">
        <v>12</v>
      </c>
      <c r="D12" s="29" t="n">
        <v>189000</v>
      </c>
      <c r="E12" s="27" t="n">
        <v>1631</v>
      </c>
      <c r="F12" s="27" t="inlineStr">
        <is>
          <t>내일 도착 보장(로켓형)</t>
        </is>
      </c>
      <c r="G12" s="28" t="n"/>
      <c r="H12" s="29" t="n"/>
      <c r="I12" s="27" t="inlineStr">
        <is>
          <t>제외</t>
        </is>
      </c>
      <c r="J12" s="27" t="inlineStr">
        <is>
          <t>로켓형 위너 제외</t>
        </is>
      </c>
      <c r="K12" s="28" t="inlineStr">
        <is>
          <t>리뷰는 강하지만 로켓형 배송이며 정확 모델번호도 확인되지 않아 제외.</t>
        </is>
      </c>
      <c r="L12" s="28" t="inlineStr">
        <is>
          <t>https://www.coupang.com/vp/products/5794887762</t>
        </is>
      </c>
      <c r="M12" s="28" t="inlineStr">
        <is>
          <t>https://search.danawa.com/dsearch.php?k1=%EC%94%BD%ED%81%AC%EC%97%90%EC%96%B4+12L+%EC%A0%9C%EC%8A%B5%EA%B8%B0</t>
        </is>
      </c>
    </row>
    <row r="13">
      <c r="A13" s="27" t="inlineStr">
        <is>
          <t>스마트에버</t>
        </is>
      </c>
      <c r="B13" s="28" t="inlineStr">
        <is>
          <t>SD-20L</t>
        </is>
      </c>
      <c r="C13" s="27" t="n">
        <v>20</v>
      </c>
      <c r="D13" s="29" t="n">
        <v>199200</v>
      </c>
      <c r="E13" s="27" t="n">
        <v>64</v>
      </c>
      <c r="F13" s="27" t="inlineStr">
        <is>
          <t>내일 도착(로켓형)</t>
        </is>
      </c>
      <c r="G13" s="28" t="inlineStr">
        <is>
          <t>(주)피엔엘에코</t>
        </is>
      </c>
      <c r="H13" s="29" t="n"/>
      <c r="I13" s="27" t="inlineStr">
        <is>
          <t>제외</t>
        </is>
      </c>
      <c r="J13" s="27" t="inlineStr">
        <is>
          <t>로켓형 위너 제외</t>
        </is>
      </c>
      <c r="K13" s="28" t="inlineStr">
        <is>
          <t>상품평은 기준을 넘지만 현재 배송 경쟁력이 로켓형이라 제외.</t>
        </is>
      </c>
      <c r="L13" s="28" t="inlineStr">
        <is>
          <t>https://www.coupang.com/vp/products/8787273036</t>
        </is>
      </c>
      <c r="M13" s="28" t="inlineStr">
        <is>
          <t>https://search.danawa.com/dsearch.php?k1=SD-20L+%EC%A0%9C%EC%8A%B5%EA%B8%B0</t>
        </is>
      </c>
    </row>
    <row r="14">
      <c r="A14" s="27" t="inlineStr">
        <is>
          <t>홈플래닛</t>
        </is>
      </c>
      <c r="B14" s="28" t="inlineStr">
        <is>
          <t>쿠팡 PB/모델 미확인</t>
        </is>
      </c>
      <c r="C14" s="27" t="n">
        <v>20</v>
      </c>
      <c r="D14" s="29" t="n">
        <v>169990</v>
      </c>
      <c r="E14" s="27" t="n">
        <v>1304</v>
      </c>
      <c r="F14" s="27" t="inlineStr">
        <is>
          <t>내일 도착 보장(로켓형)</t>
        </is>
      </c>
      <c r="G14" s="28" t="n"/>
      <c r="H14" s="29" t="n"/>
      <c r="I14" s="27" t="inlineStr">
        <is>
          <t>제외</t>
        </is>
      </c>
      <c r="J14" s="27" t="inlineStr">
        <is>
          <t>외부 소싱·위너 경쟁 부적합</t>
        </is>
      </c>
      <c r="K14" s="28" t="inlineStr">
        <is>
          <t>쿠팡 PB 성격과 로켓형 배송으로 다나와 소싱 후 위너 진입 대상에 부적합.</t>
        </is>
      </c>
      <c r="L14" s="28" t="inlineStr">
        <is>
          <t>https://www.coupang.com/vp/products/4833430379</t>
        </is>
      </c>
      <c r="M14" s="28" t="inlineStr">
        <is>
          <t>https://search.danawa.com/dsearch.php?k1=%ED%99%88%ED%94%8C%EB%9E%98%EB%8B%9B+20L+%EC%A0%9C%EC%8A%B5%EA%B8%B0</t>
        </is>
      </c>
    </row>
    <row r="15">
      <c r="A15" s="27" t="inlineStr">
        <is>
          <t>Qicco</t>
        </is>
      </c>
      <c r="B15" s="28" t="inlineStr">
        <is>
          <t>LM-CSJ-01</t>
        </is>
      </c>
      <c r="C15" s="27" t="n">
        <v>12</v>
      </c>
      <c r="D15" s="29" t="n">
        <v>119000</v>
      </c>
      <c r="E15" s="27" t="n">
        <v>674</v>
      </c>
      <c r="F15" s="27" t="inlineStr">
        <is>
          <t>내일 도착(로켓형)</t>
        </is>
      </c>
      <c r="G15" s="28" t="n"/>
      <c r="H15" s="29" t="n"/>
      <c r="I15" s="27" t="inlineStr">
        <is>
          <t>제외</t>
        </is>
      </c>
      <c r="J15" s="27" t="inlineStr">
        <is>
          <t>사용자 지정 제외</t>
        </is>
      </c>
      <c r="K15" s="28" t="inlineStr">
        <is>
          <t>로켓그로스형 또는 신품 판매자 1명 단독 위너 예시로 사용자 직접 제외 지정.</t>
        </is>
      </c>
      <c r="L15" s="28" t="inlineStr">
        <is>
          <t>https://www.coupang.com/vp/products/9442303907?itemId=28085160581&amp;vendorItemId=95502042063</t>
        </is>
      </c>
      <c r="M15" s="28" t="inlineStr">
        <is>
          <t>https://search.danawa.com/dsearch.php?k1=LM-CSJ-01</t>
        </is>
      </c>
    </row>
    <row r="16">
      <c r="A16" s="27" t="inlineStr">
        <is>
          <t>위닉스</t>
        </is>
      </c>
      <c r="B16" s="28" t="inlineStr">
        <is>
          <t>DN2E160-KWK</t>
        </is>
      </c>
      <c r="C16" s="27" t="n">
        <v>16</v>
      </c>
      <c r="D16" s="29" t="n"/>
      <c r="E16" s="27" t="n">
        <v>589</v>
      </c>
      <c r="F16" s="27" t="inlineStr">
        <is>
          <t>판매중지/품절</t>
        </is>
      </c>
      <c r="G16" s="28" t="n"/>
      <c r="H16" s="29" t="n"/>
      <c r="I16" s="27" t="inlineStr">
        <is>
          <t>제외</t>
        </is>
      </c>
      <c r="J16" s="27" t="inlineStr">
        <is>
          <t>현재 판매 불가</t>
        </is>
      </c>
      <c r="K16" s="28" t="inlineStr">
        <is>
          <t>리뷰는 충분하지만 현재 판매중이 아니어서 즉시 소싱 대상에서 제외.</t>
        </is>
      </c>
      <c r="L16" s="28" t="inlineStr">
        <is>
          <t>https://www.coupang.com/vp/products/8100392296?itemId=22907825894&amp;vendorItemId=89981386101</t>
        </is>
      </c>
      <c r="M16" s="28" t="inlineStr">
        <is>
          <t>https://search.danawa.com/dsearch.php?k1=DN2E160-KWK</t>
        </is>
      </c>
    </row>
    <row r="17">
      <c r="A17" s="27" t="inlineStr">
        <is>
          <t>캐리어</t>
        </is>
      </c>
      <c r="B17" s="28" t="inlineStr">
        <is>
          <t>CDHM-C016LROW</t>
        </is>
      </c>
      <c r="C17" s="27" t="n">
        <v>16</v>
      </c>
      <c r="D17" s="29" t="n"/>
      <c r="E17" s="27" t="n">
        <v>213</v>
      </c>
      <c r="F17" s="27" t="inlineStr">
        <is>
          <t>판매중지/품절</t>
        </is>
      </c>
      <c r="G17" s="28" t="n"/>
      <c r="H17" s="29" t="n"/>
      <c r="I17" s="27" t="inlineStr">
        <is>
          <t>제외</t>
        </is>
      </c>
      <c r="J17" s="27" t="inlineStr">
        <is>
          <t>현재 판매 불가</t>
        </is>
      </c>
      <c r="K17" s="28" t="inlineStr">
        <is>
          <t>리뷰는 충분하지만 현재 판매중이 아니어서 즉시 소싱 대상에서 제외.</t>
        </is>
      </c>
      <c r="L17" s="28" t="inlineStr">
        <is>
          <t>https://www.coupang.com/vp/products/6355625499</t>
        </is>
      </c>
      <c r="M17" s="28" t="inlineStr">
        <is>
          <t>https://search.danawa.com/dsearch.php?k1=CDHM-C016LROW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2026-07-08T07:18:20Z</dcterms:created>
  <dcterms:modified xsi:type="dcterms:W3CDTF">2026-07-08T07:18:20Z</dcterms:modified>
</cp:coreProperties>
</file>