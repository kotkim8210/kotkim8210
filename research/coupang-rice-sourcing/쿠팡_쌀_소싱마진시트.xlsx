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_소싱마진_쌀" sheetId="1" state="visible" r:id="rId1"/>
    <sheet name="오늘기준_마진후보" sheetId="2" state="visible" r:id="rId2"/>
    <sheet name="사용법_및_결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563C1"/>
      <sz val="9"/>
      <u val="single"/>
    </font>
    <font>
      <name val="맑은 고딕"/>
      <sz val="10"/>
    </font>
    <font>
      <name val="맑은 고딕"/>
      <b val="1"/>
      <color rgb="001F3864"/>
      <sz val="13"/>
    </font>
    <font>
      <name val="맑은 고딕"/>
      <b val="1"/>
      <color rgb="001F3864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5623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맑은 고딕"/>
        <b val="1"/>
        <color rgb="00006100"/>
      </font>
      <fill>
        <patternFill patternType="solid">
          <fgColor rgb="00C6EFCE"/>
        </patternFill>
      </fill>
    </dxf>
    <dxf>
      <font>
        <name val="맑은 고딕"/>
        <color rgb="009C0006"/>
      </font>
      <fill>
        <patternFill patternType="solid">
          <fgColor rgb="00FFC7CE"/>
        </patternFill>
      </fill>
    </dxf>
    <dxf>
      <font>
        <name val="맑은 고딕"/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d.danawa.com/info/?pcode=120682959" TargetMode="External" Id="rId1" /><Relationship Type="http://schemas.openxmlformats.org/officeDocument/2006/relationships/hyperlink" Target="https://www.coupang.com/np/search?q=&#49688;&#54693;&#48120; &#49345;&#46321;&#44553; 4kg" TargetMode="External" Id="rId2" /><Relationship Type="http://schemas.openxmlformats.org/officeDocument/2006/relationships/hyperlink" Target="https://prod.danawa.com/info/?pcode=121067023" TargetMode="External" Id="rId3" /><Relationship Type="http://schemas.openxmlformats.org/officeDocument/2006/relationships/hyperlink" Target="https://www.coupang.com/vp/products/7572887248" TargetMode="External" Id="rId4" /><Relationship Type="http://schemas.openxmlformats.org/officeDocument/2006/relationships/hyperlink" Target="https://prod.danawa.com/info/?pcode=112124836" TargetMode="External" Id="rId5" /><Relationship Type="http://schemas.openxmlformats.org/officeDocument/2006/relationships/hyperlink" Target="https://www.coupang.com/np/search?q=&#54665;&#48373;&#46300;&#47548; &#49888;&#46041;&#51652; 10kg" TargetMode="External" Id="rId6" /><Relationship Type="http://schemas.openxmlformats.org/officeDocument/2006/relationships/hyperlink" Target="https://prod.danawa.com/info/?pcode=111495679" TargetMode="External" Id="rId7" /><Relationship Type="http://schemas.openxmlformats.org/officeDocument/2006/relationships/hyperlink" Target="https://www.coupang.com/vp/products/140340903" TargetMode="External" Id="rId8" /><Relationship Type="http://schemas.openxmlformats.org/officeDocument/2006/relationships/hyperlink" Target="https://prod.danawa.com/info/?pcode=100235903" TargetMode="External" Id="rId9" /><Relationship Type="http://schemas.openxmlformats.org/officeDocument/2006/relationships/hyperlink" Target="https://www.coupang.com/np/search?q=&#54252;&#52380; &#54644;&#46308;&#48120; &#49345;&#46321;&#44553; 10kg&#215;2" TargetMode="External" Id="rId10" /><Relationship Type="http://schemas.openxmlformats.org/officeDocument/2006/relationships/hyperlink" Target="https://prod.danawa.com/info/?pcode=40639943" TargetMode="External" Id="rId11" /><Relationship Type="http://schemas.openxmlformats.org/officeDocument/2006/relationships/hyperlink" Target="https://www.coupang.com/np/search?q=&#51076;&#44552;&#45784;&#54364; &#51060;&#52380;&#49920; 10kg" TargetMode="External" Id="rId12" /><Relationship Type="http://schemas.openxmlformats.org/officeDocument/2006/relationships/hyperlink" Target="https://prod.danawa.com/info/?pcode=65894645" TargetMode="External" Id="rId13" /><Relationship Type="http://schemas.openxmlformats.org/officeDocument/2006/relationships/hyperlink" Target="https://www.coupang.com/np/search?q=&#49688;&#54693;&#48120; 2024 &#49345;&#46321;&#44553; 10kg" TargetMode="External" Id="rId14" /><Relationship Type="http://schemas.openxmlformats.org/officeDocument/2006/relationships/hyperlink" Target="https://prod.danawa.com/info/?pcode=109810363" TargetMode="External" Id="rId15" /><Relationship Type="http://schemas.openxmlformats.org/officeDocument/2006/relationships/hyperlink" Target="https://www.coupang.com/np/search?q=&#46160;&#47336;&#50928; &#52384;&#50896;&#50724;&#45824;&#49920; 10kg" TargetMode="External" Id="rId16" /><Relationship Type="http://schemas.openxmlformats.org/officeDocument/2006/relationships/hyperlink" Target="https://prod.danawa.com/info/?pcode=100235882" TargetMode="External" Id="rId17" /><Relationship Type="http://schemas.openxmlformats.org/officeDocument/2006/relationships/hyperlink" Target="https://www.coupang.com/np/search?q=&#54252;&#52380; &#54644;&#46308;&#48120; &#49345;&#46321;&#44553; 4kg" TargetMode="External" Id="rId18" /><Relationship Type="http://schemas.openxmlformats.org/officeDocument/2006/relationships/hyperlink" Target="https://prod.danawa.com/info/?pcode=104228141" TargetMode="External" Id="rId19" /><Relationship Type="http://schemas.openxmlformats.org/officeDocument/2006/relationships/hyperlink" Target="https://www.coupang.com/np/search?q=&#52384;&#50896; &#50724;&#45824;&#49920; &#49345;&#46321;&#44553; 10kg" TargetMode="External" Id="rId20" /><Relationship Type="http://schemas.openxmlformats.org/officeDocument/2006/relationships/hyperlink" Target="https://prod.danawa.com/info/?pcode=110991175" TargetMode="External" Id="rId21" /><Relationship Type="http://schemas.openxmlformats.org/officeDocument/2006/relationships/hyperlink" Target="https://www.coupang.com/np/search?q=&#54889;&#44552;&#48731; &#49888;&#46041;&#51652; 10kg" TargetMode="External" Id="rId22" /><Relationship Type="http://schemas.openxmlformats.org/officeDocument/2006/relationships/hyperlink" Target="https://prod.danawa.com/info/?pcode=112438339" TargetMode="External" Id="rId23" /><Relationship Type="http://schemas.openxmlformats.org/officeDocument/2006/relationships/hyperlink" Target="https://www.coupang.com/np/search?q=&#51060;&#52380;&#49920; &#50508;&#52268;&#48120; &#49345;&#46321;&#44553; 10kg" TargetMode="External" Id="rId24" /><Relationship Type="http://schemas.openxmlformats.org/officeDocument/2006/relationships/hyperlink" Target="https://prod.danawa.com/info/?pcode=97703396" TargetMode="External" Id="rId25" /><Relationship Type="http://schemas.openxmlformats.org/officeDocument/2006/relationships/hyperlink" Target="https://www.coupang.com/np/search?q=&#49688;&#54693;&#48120; &#49345;&#46321;&#44553; 10kg" TargetMode="External" Id="rId26" /><Relationship Type="http://schemas.openxmlformats.org/officeDocument/2006/relationships/hyperlink" Target="https://prod.danawa.com/info/?pcode=28157102" TargetMode="External" Id="rId27" /><Relationship Type="http://schemas.openxmlformats.org/officeDocument/2006/relationships/hyperlink" Target="https://www.coupang.com/np/search?q=&#52384;&#50896; &#50724;&#45824;&#49920; 10kg" TargetMode="External" Id="rId28" /><Relationship Type="http://schemas.openxmlformats.org/officeDocument/2006/relationships/hyperlink" Target="https://prod.danawa.com/info/?pcode=111284495" TargetMode="External" Id="rId29" /><Relationship Type="http://schemas.openxmlformats.org/officeDocument/2006/relationships/hyperlink" Target="https://www.coupang.com/np/search?q=&#50504;&#49457; &#44256;&#49884;&#55176;&#52852;&#47532; &#53945;&#46321;&#44553; 10kg" TargetMode="External" Id="rId30" /><Relationship Type="http://schemas.openxmlformats.org/officeDocument/2006/relationships/hyperlink" Target="https://prod.danawa.com/info/?pcode=32345525" TargetMode="External" Id="rId31" /><Relationship Type="http://schemas.openxmlformats.org/officeDocument/2006/relationships/hyperlink" Target="https://www.coupang.com/np/search?q=&#54620;&#53664;&#47000; &#44221;&#44592;&#48120; &#44256;&#49884;&#55176;&#52852;&#47532; 10kg" TargetMode="External" Id="rId32" /><Relationship Type="http://schemas.openxmlformats.org/officeDocument/2006/relationships/hyperlink" Target="https://prod.danawa.com/info/?pcode=65422085" TargetMode="External" Id="rId33" /><Relationship Type="http://schemas.openxmlformats.org/officeDocument/2006/relationships/hyperlink" Target="https://www.coupang.com/np/search?q=&#52384;&#50896; &#50724;&#45824;&#49920; 10kg" TargetMode="External" Id="rId34" /><Relationship Type="http://schemas.openxmlformats.org/officeDocument/2006/relationships/hyperlink" Target="https://prod.danawa.com/info/?pcode=122710156" TargetMode="External" Id="rId35" /><Relationship Type="http://schemas.openxmlformats.org/officeDocument/2006/relationships/hyperlink" Target="https://www.coupang.com/np/search?q=&#49688;&#54693;&#48120; &#52832;&#48516;&#46020;&#48120; 10kg" TargetMode="External" Id="rId36" /><Relationship Type="http://schemas.openxmlformats.org/officeDocument/2006/relationships/hyperlink" Target="https://prod.danawa.com/info/?pcode=122710093" TargetMode="External" Id="rId37" /><Relationship Type="http://schemas.openxmlformats.org/officeDocument/2006/relationships/hyperlink" Target="https://www.coupang.com/np/search?q=&#49688;&#54693;&#48120; &#50724;&#48516;&#46020;&#48120; 10kg" TargetMode="External" Id="rId38" /><Relationship Type="http://schemas.openxmlformats.org/officeDocument/2006/relationships/hyperlink" Target="https://prod.danawa.com/info/?pcode=101536748" TargetMode="External" Id="rId39" /><Relationship Type="http://schemas.openxmlformats.org/officeDocument/2006/relationships/hyperlink" Target="https://www.coupang.com/np/search?q=&#49688;&#54693;&#48120; &#53945;&#46321;&#44553; 10kg" TargetMode="External" Id="rId40" /><Relationship Type="http://schemas.openxmlformats.org/officeDocument/2006/relationships/hyperlink" Target="https://prod.danawa.com/info/?pcode=97646780" TargetMode="External" Id="rId41" /><Relationship Type="http://schemas.openxmlformats.org/officeDocument/2006/relationships/hyperlink" Target="https://www.coupang.com/np/search?q=&#49800;&#54140;&#50724;&#45789; &#44256;&#49884;&#55176;&#52852;&#47532; &#53945;&#46321;&#44553; 10kg" TargetMode="External" Id="rId42" /><Relationship Type="http://schemas.openxmlformats.org/officeDocument/2006/relationships/hyperlink" Target="https://prod.danawa.com/info/?pcode=68533022" TargetMode="External" Id="rId43" /><Relationship Type="http://schemas.openxmlformats.org/officeDocument/2006/relationships/hyperlink" Target="https://www.coupang.com/np/search?q=&#49688;&#54693;&#48120; 2024 4kg" TargetMode="External" Id="rId44" /><Relationship Type="http://schemas.openxmlformats.org/officeDocument/2006/relationships/hyperlink" Target="https://prod.danawa.com/info/?pcode=97106711" TargetMode="External" Id="rId45" /><Relationship Type="http://schemas.openxmlformats.org/officeDocument/2006/relationships/hyperlink" Target="https://www.coupang.com/np/search?q=&#51060;&#52380;&#49920; &#51652;&#44305;&#48120; &#49345;&#46321;&#44553; 10kg&#215;2" TargetMode="External" Id="rId46" /><Relationship Type="http://schemas.openxmlformats.org/officeDocument/2006/relationships/hyperlink" Target="https://prod.danawa.com/info/?pcode=106700150" TargetMode="External" Id="rId47" /><Relationship Type="http://schemas.openxmlformats.org/officeDocument/2006/relationships/hyperlink" Target="https://www.coupang.com/np/search?q=&#51060;&#52380;&#49920; &#54644;&#46308;&#48120; &#49345;&#46321;&#44553; 10kg" TargetMode="External" Id="rId48" /><Relationship Type="http://schemas.openxmlformats.org/officeDocument/2006/relationships/hyperlink" Target="https://prod.danawa.com/info/?pcode=112345633" TargetMode="External" Id="rId49" /><Relationship Type="http://schemas.openxmlformats.org/officeDocument/2006/relationships/hyperlink" Target="https://www.coupang.com/np/search?q=&#50689;&#44305; &#49888;&#46041;&#51652;&#49920; 10kg&#215;2" TargetMode="External" Id="rId50" /><Relationship Type="http://schemas.openxmlformats.org/officeDocument/2006/relationships/hyperlink" Target="https://prod.danawa.com/info/?pcode=59915132" TargetMode="External" Id="rId51" /><Relationship Type="http://schemas.openxmlformats.org/officeDocument/2006/relationships/hyperlink" Target="https://www.coupang.com/np/search?q=&#49888;&#46041;&#51652; &#53945;&#46321;&#44553; 10kg" TargetMode="External" Id="rId52" /><Relationship Type="http://schemas.openxmlformats.org/officeDocument/2006/relationships/hyperlink" Target="https://prod.danawa.com/info/?pcode=116304884" TargetMode="External" Id="rId53" /><Relationship Type="http://schemas.openxmlformats.org/officeDocument/2006/relationships/hyperlink" Target="https://www.coupang.com/np/search?q=&#49888;&#46041;&#51652;&#49920; 10kg" TargetMode="External" Id="rId54" /><Relationship Type="http://schemas.openxmlformats.org/officeDocument/2006/relationships/hyperlink" Target="https://prod.danawa.com/info/?pcode=119972420" TargetMode="External" Id="rId55" /><Relationship Type="http://schemas.openxmlformats.org/officeDocument/2006/relationships/hyperlink" Target="https://www.coupang.com/np/search?q=&#44221;&#44592;&#48120; &#44256;&#49884;&#55176;&#52852;&#47532; 10kg" TargetMode="External" Id="rId56" /></Relationships>
</file>

<file path=xl/worksheets/_rels/sheet2.xml.rels><Relationships xmlns="http://schemas.openxmlformats.org/package/2006/relationships"><Relationship Type="http://schemas.openxmlformats.org/officeDocument/2006/relationships/hyperlink" Target="https://prod.danawa.com/info/?pcode=120682959" TargetMode="External" Id="rId1" /><Relationship Type="http://schemas.openxmlformats.org/officeDocument/2006/relationships/hyperlink" Target="https://www.coupang.com/np/search?q=&#49688;&#54693;&#48120; &#49345;&#46321;&#44553; 4kg" TargetMode="External" Id="rId2" /><Relationship Type="http://schemas.openxmlformats.org/officeDocument/2006/relationships/hyperlink" Target="https://prod.danawa.com/info/?pcode=121067023" TargetMode="External" Id="rId3" /><Relationship Type="http://schemas.openxmlformats.org/officeDocument/2006/relationships/hyperlink" Target="https://www.coupang.com/vp/products/7572887248" TargetMode="External" Id="rId4" /><Relationship Type="http://schemas.openxmlformats.org/officeDocument/2006/relationships/hyperlink" Target="https://prod.danawa.com/info/?pcode=112124836" TargetMode="External" Id="rId5" /><Relationship Type="http://schemas.openxmlformats.org/officeDocument/2006/relationships/hyperlink" Target="https://www.coupang.com/np/search?q=&#54665;&#48373;&#46300;&#47548; &#49888;&#46041;&#51652; 10kg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12" customWidth="1" min="4" max="4"/>
    <col width="24" customWidth="1" min="5" max="5"/>
    <col width="24" customWidth="1" min="6" max="6"/>
    <col width="12" customWidth="1" min="7" max="7"/>
    <col width="12" customWidth="1" min="8" max="8"/>
    <col width="7" customWidth="1" min="9" max="9"/>
    <col width="10" customWidth="1" min="10" max="10"/>
    <col width="16" customWidth="1" min="11" max="11"/>
    <col width="10" customWidth="1" min="12" max="12"/>
    <col width="10" customWidth="1" min="13" max="13"/>
    <col width="10" customWidth="1" min="14" max="14"/>
    <col width="22" customWidth="1" min="15" max="15"/>
    <col width="8" customWidth="1" min="16" max="16"/>
    <col width="10" customWidth="1" min="17" max="17"/>
    <col width="20" customWidth="1" min="18" max="18"/>
    <col width="30" customWidth="1" min="19" max="19"/>
  </cols>
  <sheetData>
    <row r="1" ht="30" customHeight="1">
      <c r="A1" s="1" t="inlineStr">
        <is>
          <t>쌀(수향미·브랜드쌀) 쿠팡 소싱 — 기준일 2026-07-10(KST) | 매입가=다나와·에누리·네이버 3소스 최저 | 마진=쿠팡가−매입가−쿠팡가×11.88% | 제외규칙: 품절·로켓·재고≤10개·구매제한(1일1개) 판매자 | 쌀은 도정일자·구성(10kg×1 vs ×2) 반드시 일치 확인</t>
        </is>
      </c>
    </row>
    <row r="2" ht="32" customHeight="1">
      <c r="A2" s="2" t="inlineStr">
        <is>
          <t>브랜드/생산</t>
        </is>
      </c>
      <c r="B2" s="2" t="inlineStr">
        <is>
          <t>키워드</t>
        </is>
      </c>
      <c r="C2" s="2" t="inlineStr">
        <is>
          <t>상품명(구성 주의)</t>
        </is>
      </c>
      <c r="D2" s="2" t="inlineStr">
        <is>
          <t>최종 매입가
(3소스 최저)</t>
        </is>
      </c>
      <c r="E2" s="2" t="inlineStr">
        <is>
          <t>다나와 URL</t>
        </is>
      </c>
      <c r="F2" s="2" t="inlineStr">
        <is>
          <t>쿠팡 URL</t>
        </is>
      </c>
      <c r="G2" s="2" t="inlineStr">
        <is>
          <t>쿠팡 판매가
(등재/실측)</t>
        </is>
      </c>
      <c r="H2" s="2" t="inlineStr">
        <is>
          <t>예상마진(원)
11.88%공제</t>
        </is>
      </c>
      <c r="I2" s="2" t="inlineStr">
        <is>
          <t>마진율
(%)</t>
        </is>
      </c>
      <c r="J2" s="2" t="inlineStr">
        <is>
          <t>판정</t>
        </is>
      </c>
      <c r="K2" s="2" t="inlineStr">
        <is>
          <t>매입가 출처</t>
        </is>
      </c>
      <c r="L2" s="2" t="inlineStr">
        <is>
          <t>다나와
비쿠팡최저</t>
        </is>
      </c>
      <c r="M2" s="2" t="inlineStr">
        <is>
          <t>에누리
최저</t>
        </is>
      </c>
      <c r="N2" s="2" t="inlineStr">
        <is>
          <t>네이버
최저</t>
        </is>
      </c>
      <c r="O2" s="2" t="inlineStr">
        <is>
          <t>네이버 URL</t>
        </is>
      </c>
      <c r="P2" s="2" t="inlineStr">
        <is>
          <t>다나와
판매처수</t>
        </is>
      </c>
      <c r="Q2" s="2" t="inlineStr">
        <is>
          <t>위너
배송추정</t>
        </is>
      </c>
      <c r="R2" s="2" t="inlineStr">
        <is>
          <t>[매입전 필수확인]
재고&gt;10·구매제한 없음</t>
        </is>
      </c>
      <c r="S2" s="2" t="inlineStr">
        <is>
          <t>비고/검증</t>
        </is>
      </c>
    </row>
    <row r="3" ht="28" customHeight="1">
      <c r="A3" s="3" t="inlineStr">
        <is>
          <t>햇살드리</t>
        </is>
      </c>
      <c r="B3" s="3" t="inlineStr">
        <is>
          <t>수향미 4kg</t>
        </is>
      </c>
      <c r="C3" s="4" t="inlineStr">
        <is>
          <t>수향미 상등급 4kg</t>
        </is>
      </c>
      <c r="D3" s="5" t="n">
        <v>18220</v>
      </c>
      <c r="E3" s="6" t="inlineStr">
        <is>
          <t>https://prod.danawa.com/info/?pcode=120682959</t>
        </is>
      </c>
      <c r="F3" s="6" t="inlineStr">
        <is>
          <t>https://www.coupang.com/np/search?q=수향미 상등급 4kg</t>
        </is>
      </c>
      <c r="G3" s="5" t="n">
        <v>21500</v>
      </c>
      <c r="H3" s="5">
        <f>IF(OR(G3="",D3=""),"",ROUND(G3-D3-G3*0.1188,0))</f>
        <v/>
      </c>
      <c r="I3" s="7">
        <f>IF(OR(G3="",G3=0),"",ROUND(H3/G3*100,1))</f>
        <v/>
      </c>
      <c r="J3" s="3">
        <f>IF(G3="","쿠팡가없음",IF(H3&gt;=10,"✅마진OK","❌미달"))</f>
        <v/>
      </c>
      <c r="K3" s="4" t="inlineStr">
        <is>
          <t>다나와:옥션</t>
        </is>
      </c>
      <c r="L3" s="5" t="n">
        <v>18220</v>
      </c>
      <c r="M3" s="5" t="n">
        <v>18220</v>
      </c>
      <c r="N3" s="5" t="n"/>
      <c r="O3" s="8" t="inlineStr"/>
      <c r="P3" s="3" t="n">
        <v>224</v>
      </c>
      <c r="Q3" s="3" t="inlineStr">
        <is>
          <t>일반추정</t>
        </is>
      </c>
      <c r="R3" s="4" t="inlineStr">
        <is>
          <t>⚠확인필요(봇 접근불가 항목): 매입처 페이지에서 잔여재고 10개 초과 &amp; 1일 구매제한 없음 확인 후 매입</t>
        </is>
      </c>
      <c r="S3" s="4" t="inlineStr">
        <is>
          <t>판매상태:판매중(폴센트) | 쿠팡 21,500은 폴센트 추적 리스팅 기준 — 등재가 19,300과 다른 리스팅</t>
        </is>
      </c>
    </row>
    <row r="4" ht="28" customHeight="1">
      <c r="A4" s="3" t="inlineStr">
        <is>
          <t>철원농협</t>
        </is>
      </c>
      <c r="B4" s="3" t="inlineStr">
        <is>
          <t>철원오대쌀 10kg</t>
        </is>
      </c>
      <c r="C4" s="4" t="inlineStr">
        <is>
          <t>철원 오대쌀 10kg(철원농협 2025)</t>
        </is>
      </c>
      <c r="D4" s="5" t="n">
        <v>39240</v>
      </c>
      <c r="E4" s="6" t="inlineStr">
        <is>
          <t>https://prod.danawa.com/info/?pcode=121067023</t>
        </is>
      </c>
      <c r="F4" s="6" t="inlineStr">
        <is>
          <t>https://www.coupang.com/vp/products/7572887248</t>
        </is>
      </c>
      <c r="G4" s="5" t="n">
        <v>44800</v>
      </c>
      <c r="H4" s="5">
        <f>IF(OR(G4="",D4=""),"",ROUND(G4-D4-G4*0.1188,0))</f>
        <v/>
      </c>
      <c r="I4" s="7">
        <f>IF(OR(G4="",G4=0),"",ROUND(H4/G4*100,1))</f>
        <v/>
      </c>
      <c r="J4" s="3">
        <f>IF(G4="","쿠팡가없음",IF(H4&gt;=10,"✅마진OK","❌미달"))</f>
        <v/>
      </c>
      <c r="K4" s="4" t="inlineStr">
        <is>
          <t>에누리:에누리(연산 미표기 리스팅 주의)</t>
        </is>
      </c>
      <c r="L4" s="5" t="n">
        <v>39390</v>
      </c>
      <c r="M4" s="5" t="n">
        <v>39240</v>
      </c>
      <c r="N4" s="5" t="n"/>
      <c r="O4" s="8" t="inlineStr"/>
      <c r="P4" s="3" t="n">
        <v>38</v>
      </c>
      <c r="Q4" s="3" t="inlineStr">
        <is>
          <t>일반추정</t>
        </is>
      </c>
      <c r="R4" s="4" t="inlineStr">
        <is>
          <t>⚠확인필요(봇 접근불가 항목): 매입처 페이지에서 잔여재고 10개 초과 &amp; 1일 구매제한 없음 확인 후 매입</t>
        </is>
      </c>
      <c r="S4" s="4" t="inlineStr">
        <is>
          <t>판매상태:확인불가(쿠팡 403) | 쿠팡 URL은 2024햅쌀 표기 동일계열 — 2025 갱신·현재가 미검증</t>
        </is>
      </c>
    </row>
    <row r="5" ht="28" customHeight="1">
      <c r="A5" s="3" t="inlineStr">
        <is>
          <t>임실농협</t>
        </is>
      </c>
      <c r="B5" s="3" t="inlineStr">
        <is>
          <t>신동진쌀 10kg</t>
        </is>
      </c>
      <c r="C5" s="4" t="inlineStr">
        <is>
          <t>행복드림 신동진 10kg(임실농협)</t>
        </is>
      </c>
      <c r="D5" s="5" t="n">
        <v>31950</v>
      </c>
      <c r="E5" s="6" t="inlineStr">
        <is>
          <t>https://prod.danawa.com/info/?pcode=112124836</t>
        </is>
      </c>
      <c r="F5" s="6" t="inlineStr">
        <is>
          <t>https://www.coupang.com/np/search?q=행복드림 신동진 10kg</t>
        </is>
      </c>
      <c r="G5" s="5" t="n">
        <v>36460</v>
      </c>
      <c r="H5" s="5">
        <f>IF(OR(G5="",D5=""),"",ROUND(G5-D5-G5*0.1188,0))</f>
        <v/>
      </c>
      <c r="I5" s="7">
        <f>IF(OR(G5="",G5=0),"",ROUND(H5/G5*100,1))</f>
        <v/>
      </c>
      <c r="J5" s="3">
        <f>IF(G5="","쿠팡가없음",IF(H5&gt;=10,"✅마진OK","❌미달"))</f>
        <v/>
      </c>
      <c r="K5" s="4" t="inlineStr">
        <is>
          <t>다나와:옥션</t>
        </is>
      </c>
      <c r="L5" s="5" t="n">
        <v>31950</v>
      </c>
      <c r="M5" s="5" t="n">
        <v>31950</v>
      </c>
      <c r="N5" s="5" t="n"/>
      <c r="O5" s="8" t="inlineStr"/>
      <c r="P5" s="3" t="n">
        <v>64</v>
      </c>
      <c r="Q5" s="3" t="inlineStr">
        <is>
          <t>일반추정</t>
        </is>
      </c>
      <c r="R5" s="4" t="inlineStr">
        <is>
          <t>⚠확인필요(봇 접근불가 항목): 매입처 페이지에서 잔여재고 10개 초과 &amp; 1일 구매제한 없음 확인 후 매입</t>
        </is>
      </c>
      <c r="S5" s="4" t="inlineStr">
        <is>
          <t>판매상태:쿠팡 단품 미노출 — 검증실패 | 등급 보통 | 쿠팡 등재 36,460 리스팅을 폴센트·웹검색에서 특정 못함</t>
        </is>
      </c>
    </row>
    <row r="6" ht="28" customHeight="1">
      <c r="A6" s="3" t="inlineStr">
        <is>
          <t>이천라이스센터</t>
        </is>
      </c>
      <c r="B6" s="3" t="inlineStr">
        <is>
          <t>이천쌀 알찬미</t>
        </is>
      </c>
      <c r="C6" s="4" t="inlineStr">
        <is>
          <t>이천쌀 알찬미 특등급 10kg</t>
        </is>
      </c>
      <c r="D6" s="5" t="n">
        <v>38250</v>
      </c>
      <c r="E6" s="6" t="inlineStr">
        <is>
          <t>https://prod.danawa.com/info/?pcode=111495679</t>
        </is>
      </c>
      <c r="F6" s="6" t="inlineStr">
        <is>
          <t>https://www.coupang.com/vp/products/140340903</t>
        </is>
      </c>
      <c r="G6" s="5" t="n">
        <v>45900</v>
      </c>
      <c r="H6" s="5">
        <f>IF(OR(G6="",D6=""),"",ROUND(G6-D6-G6*0.1188,0))</f>
        <v/>
      </c>
      <c r="I6" s="7">
        <f>IF(OR(G6="",G6=0),"",ROUND(H6/G6*100,1))</f>
        <v/>
      </c>
      <c r="J6" s="3" t="inlineStr">
        <is>
          <t>제외(품절)</t>
        </is>
      </c>
      <c r="K6" s="4" t="inlineStr">
        <is>
          <t>다나와:옥션</t>
        </is>
      </c>
      <c r="L6" s="5" t="n">
        <v>38250</v>
      </c>
      <c r="M6" s="5" t="n">
        <v>38250</v>
      </c>
      <c r="N6" s="5" t="n"/>
      <c r="O6" s="8" t="inlineStr"/>
      <c r="P6" s="3" t="n">
        <v>67</v>
      </c>
      <c r="Q6" s="3" t="inlineStr">
        <is>
          <t>일반추정</t>
        </is>
      </c>
      <c r="R6" s="4" t="inlineStr">
        <is>
          <t>⚠확인필요(봇 접근불가 항목): 매입처 페이지에서 잔여재고 10개 초과 &amp; 1일 구매제한 없음 확인 후 매입</t>
        </is>
      </c>
      <c r="S6" s="4" t="inlineStr">
        <is>
          <t>판매상태:쿠팡 45,900 리스팅 품절(판매자배송) | ⚠품절 — 단 위너 공석 상태. 공식유통(45,000)·11번가(47,200)도 품절 = 공 | 매입사다리: 옥션38,250→G마켓39,510→11번가41,210. URL은 유사</t>
        </is>
      </c>
    </row>
    <row r="7" ht="28" customHeight="1">
      <c r="A7" s="3" t="inlineStr">
        <is>
          <t>관인농협</t>
        </is>
      </c>
      <c r="B7" s="3" t="inlineStr">
        <is>
          <t>해들미 10kg</t>
        </is>
      </c>
      <c r="C7" s="4" t="inlineStr">
        <is>
          <t>포천 해들미 상등급 10kg×2</t>
        </is>
      </c>
      <c r="D7" s="5" t="n">
        <v>67300</v>
      </c>
      <c r="E7" s="6" t="inlineStr">
        <is>
          <t>https://prod.danawa.com/info/?pcode=100235903</t>
        </is>
      </c>
      <c r="F7" s="6" t="inlineStr">
        <is>
          <t>https://www.coupang.com/np/search?q=포천 해들미 상등급 10kg×2</t>
        </is>
      </c>
      <c r="G7" s="5" t="n">
        <v>75900</v>
      </c>
      <c r="H7" s="5">
        <f>IF(OR(G7="",D7=""),"",ROUND(G7-D7-G7*0.1188,0))</f>
        <v/>
      </c>
      <c r="I7" s="7">
        <f>IF(OR(G7="",G7=0),"",ROUND(H7/G7*100,1))</f>
        <v/>
      </c>
      <c r="J7" s="3">
        <f>IF(G7="","쿠팡가없음",IF(H7&gt;=10,"✅마진OK","❌미달"))</f>
        <v/>
      </c>
      <c r="K7" s="4" t="inlineStr">
        <is>
          <t>다나와:11번가</t>
        </is>
      </c>
      <c r="L7" s="5" t="n">
        <v>67300</v>
      </c>
      <c r="M7" s="5" t="n"/>
      <c r="N7" s="5" t="n"/>
      <c r="O7" s="8" t="inlineStr"/>
      <c r="P7" s="3" t="n">
        <v>27</v>
      </c>
      <c r="Q7" s="3" t="inlineStr">
        <is>
          <t>일반추정</t>
        </is>
      </c>
      <c r="R7" s="4" t="inlineStr">
        <is>
          <t>⚠확인필요(봇 접근불가 항목): 매입처 페이지에서 잔여재고 10개 초과 &amp; 1일 구매제한 없음 확인 후 매입</t>
        </is>
      </c>
      <c r="S7" s="4" t="inlineStr">
        <is>
          <t>롯데홈쇼핑 64,290은 삼성카드 전용가 제외. 구성 10kg×2</t>
        </is>
      </c>
    </row>
    <row r="8" ht="28" customHeight="1">
      <c r="A8" s="3" t="inlineStr">
        <is>
          <t>임금님표</t>
        </is>
      </c>
      <c r="B8" s="3" t="inlineStr">
        <is>
          <t>이천쌀 10kg</t>
        </is>
      </c>
      <c r="C8" s="4" t="inlineStr">
        <is>
          <t>임금님표 이천쌀 10kg</t>
        </is>
      </c>
      <c r="D8" s="5" t="n">
        <v>39390</v>
      </c>
      <c r="E8" s="6" t="inlineStr">
        <is>
          <t>https://prod.danawa.com/info/?pcode=40639943</t>
        </is>
      </c>
      <c r="F8" s="6" t="inlineStr">
        <is>
          <t>https://www.coupang.com/np/search?q=임금님표 이천쌀 10kg</t>
        </is>
      </c>
      <c r="G8" s="5" t="n">
        <v>44100</v>
      </c>
      <c r="H8" s="5">
        <f>IF(OR(G8="",D8=""),"",ROUND(G8-D8-G8*0.1188,0))</f>
        <v/>
      </c>
      <c r="I8" s="7">
        <f>IF(OR(G8="",G8=0),"",ROUND(H8/G8*100,1))</f>
        <v/>
      </c>
      <c r="J8" s="3">
        <f>IF(G8="","쿠팡가없음",IF(H8&gt;=10,"✅마진OK","❌미달"))</f>
        <v/>
      </c>
      <c r="K8" s="4" t="inlineStr">
        <is>
          <t>다나와:11번가</t>
        </is>
      </c>
      <c r="L8" s="5" t="n">
        <v>39390</v>
      </c>
      <c r="M8" s="5" t="n">
        <v>39760</v>
      </c>
      <c r="N8" s="5" t="n"/>
      <c r="O8" s="8" t="inlineStr"/>
      <c r="P8" s="3" t="n">
        <v>31</v>
      </c>
      <c r="Q8" s="3" t="inlineStr">
        <is>
          <t>일반추정</t>
        </is>
      </c>
      <c r="R8" s="4" t="inlineStr">
        <is>
          <t>⚠확인필요(봇 접근불가 항목): 매입처 페이지에서 잔여재고 10개 초과 &amp; 1일 구매제한 없음 확인 후 매입</t>
        </is>
      </c>
      <c r="S8" s="4" t="inlineStr">
        <is>
          <t xml:space="preserve">판매상태:판매중(폴센트·판매자배송) | 쿠팡 44,100(등재 44,500서 소폭 인하). 에누리는 다나와보다 비쌈 — </t>
        </is>
      </c>
    </row>
    <row r="9" ht="28" customHeight="1">
      <c r="A9" s="3" t="inlineStr">
        <is>
          <t>햇살드리</t>
        </is>
      </c>
      <c r="B9" s="3" t="inlineStr">
        <is>
          <t>수향미 10kg</t>
        </is>
      </c>
      <c r="C9" s="4" t="inlineStr">
        <is>
          <t>수향미 2024 상등급 10kg</t>
        </is>
      </c>
      <c r="D9" s="5" t="n">
        <v>43380</v>
      </c>
      <c r="E9" s="6" t="inlineStr">
        <is>
          <t>https://prod.danawa.com/info/?pcode=65894645</t>
        </is>
      </c>
      <c r="F9" s="6" t="inlineStr">
        <is>
          <t>https://www.coupang.com/np/search?q=수향미 2024 상등급 10kg</t>
        </is>
      </c>
      <c r="G9" s="5" t="n">
        <v>47900</v>
      </c>
      <c r="H9" s="5">
        <f>IF(OR(G9="",D9=""),"",ROUND(G9-D9-G9*0.1188,0))</f>
        <v/>
      </c>
      <c r="I9" s="7">
        <f>IF(OR(G9="",G9=0),"",ROUND(H9/G9*100,1))</f>
        <v/>
      </c>
      <c r="J9" s="3">
        <f>IF(G9="","쿠팡가없음",IF(H9&gt;=10,"✅마진OK","❌미달"))</f>
        <v/>
      </c>
      <c r="K9" s="4" t="inlineStr">
        <is>
          <t>다나와:11번가</t>
        </is>
      </c>
      <c r="L9" s="5" t="n">
        <v>43380</v>
      </c>
      <c r="M9" s="5" t="n"/>
      <c r="N9" s="5" t="n"/>
      <c r="O9" s="8" t="inlineStr"/>
      <c r="P9" s="3" t="n">
        <v>26</v>
      </c>
      <c r="Q9" s="3" t="inlineStr">
        <is>
          <t>일반추정</t>
        </is>
      </c>
      <c r="R9" s="4" t="inlineStr">
        <is>
          <t>⚠확인필요(봇 접근불가 항목): 매입처 페이지에서 잔여재고 10개 초과 &amp; 1일 구매제한 없음 확인 후 매입</t>
        </is>
      </c>
      <c r="S9" s="4" t="inlineStr">
        <is>
          <t>11번가 등 배송비3,000 별도(포함환산), 쿠팡만 무료</t>
        </is>
      </c>
    </row>
    <row r="10" ht="28" customHeight="1">
      <c r="A10" s="3" t="inlineStr">
        <is>
          <t>동철원농협</t>
        </is>
      </c>
      <c r="B10" s="3" t="inlineStr">
        <is>
          <t>철원오대쌀 10kg</t>
        </is>
      </c>
      <c r="C10" s="4" t="inlineStr">
        <is>
          <t>두루웰 철원오대쌀 10kg</t>
        </is>
      </c>
      <c r="D10" s="5" t="n">
        <v>39150</v>
      </c>
      <c r="E10" s="6" t="inlineStr">
        <is>
          <t>https://prod.danawa.com/info/?pcode=109810363</t>
        </is>
      </c>
      <c r="F10" s="6" t="inlineStr">
        <is>
          <t>https://www.coupang.com/np/search?q=두루웰 철원오대쌀 10kg</t>
        </is>
      </c>
      <c r="G10" s="5" t="n">
        <v>42700</v>
      </c>
      <c r="H10" s="5">
        <f>IF(OR(G10="",D10=""),"",ROUND(G10-D10-G10*0.1188,0))</f>
        <v/>
      </c>
      <c r="I10" s="7">
        <f>IF(OR(G10="",G10=0),"",ROUND(H10/G10*100,1))</f>
        <v/>
      </c>
      <c r="J10" s="3">
        <f>IF(G10="","쿠팡가없음",IF(H10&gt;=10,"✅마진OK","❌미달"))</f>
        <v/>
      </c>
      <c r="K10" s="4" t="inlineStr">
        <is>
          <t>다나와:옥션</t>
        </is>
      </c>
      <c r="L10" s="5" t="n">
        <v>39150</v>
      </c>
      <c r="M10" s="5" t="n"/>
      <c r="N10" s="5" t="n"/>
      <c r="O10" s="8" t="inlineStr"/>
      <c r="P10" s="3" t="n">
        <v>136</v>
      </c>
      <c r="Q10" s="3" t="inlineStr">
        <is>
          <t>일반추정</t>
        </is>
      </c>
      <c r="R10" s="4" t="inlineStr">
        <is>
          <t>⚠확인필요(봇 접근불가 항목): 매입처 페이지에서 잔여재고 10개 초과 &amp; 1일 구매제한 없음 확인 후 매입</t>
        </is>
      </c>
      <c r="S10" s="4" t="inlineStr"/>
    </row>
    <row r="11" ht="28" customHeight="1">
      <c r="A11" s="3" t="inlineStr">
        <is>
          <t>관인농협</t>
        </is>
      </c>
      <c r="B11" s="3" t="inlineStr">
        <is>
          <t>해들미 4kg</t>
        </is>
      </c>
      <c r="C11" s="4" t="inlineStr">
        <is>
          <t>포천 해들미 상등급 4kg</t>
        </is>
      </c>
      <c r="D11" s="5" t="n">
        <v>19760</v>
      </c>
      <c r="E11" s="6" t="inlineStr">
        <is>
          <t>https://prod.danawa.com/info/?pcode=100235882</t>
        </is>
      </c>
      <c r="F11" s="6" t="inlineStr">
        <is>
          <t>https://www.coupang.com/np/search?q=포천 해들미 상등급 4kg</t>
        </is>
      </c>
      <c r="G11" s="5" t="n">
        <v>20500</v>
      </c>
      <c r="H11" s="5">
        <f>IF(OR(G11="",D11=""),"",ROUND(G11-D11-G11*0.1188,0))</f>
        <v/>
      </c>
      <c r="I11" s="7">
        <f>IF(OR(G11="",G11=0),"",ROUND(H11/G11*100,1))</f>
        <v/>
      </c>
      <c r="J11" s="3">
        <f>IF(G11="","쿠팡가없음",IF(H11&gt;=10,"✅마진OK","❌미달"))</f>
        <v/>
      </c>
      <c r="K11" s="4" t="inlineStr">
        <is>
          <t>다나와:11번가</t>
        </is>
      </c>
      <c r="L11" s="5" t="n">
        <v>19760</v>
      </c>
      <c r="M11" s="5" t="n"/>
      <c r="N11" s="5" t="n"/>
      <c r="O11" s="8" t="inlineStr"/>
      <c r="P11" s="3" t="n">
        <v>26</v>
      </c>
      <c r="Q11" s="3" t="inlineStr">
        <is>
          <t>일반추정</t>
        </is>
      </c>
      <c r="R11" s="4" t="inlineStr">
        <is>
          <t>⚠확인필요(봇 접근불가 항목): 매입처 페이지에서 잔여재고 10개 초과 &amp; 1일 구매제한 없음 확인 후 매입</t>
        </is>
      </c>
      <c r="S11" s="4" t="inlineStr"/>
    </row>
    <row r="12" ht="28" customHeight="1">
      <c r="A12" s="3" t="inlineStr">
        <is>
          <t>김화농협</t>
        </is>
      </c>
      <c r="B12" s="3" t="inlineStr">
        <is>
          <t>철원오대쌀 10kg</t>
        </is>
      </c>
      <c r="C12" s="4" t="inlineStr">
        <is>
          <t>철원 오대쌀 상등급 10kg(김화농협)</t>
        </is>
      </c>
      <c r="D12" s="5" t="n">
        <v>40454</v>
      </c>
      <c r="E12" s="6" t="inlineStr">
        <is>
          <t>https://prod.danawa.com/info/?pcode=104228141</t>
        </is>
      </c>
      <c r="F12" s="6" t="inlineStr">
        <is>
          <t>https://www.coupang.com/np/search?q=철원 오대쌀 상등급 10kg</t>
        </is>
      </c>
      <c r="G12" s="5" t="n">
        <v>43900</v>
      </c>
      <c r="H12" s="5">
        <f>IF(OR(G12="",D12=""),"",ROUND(G12-D12-G12*0.1188,0))</f>
        <v/>
      </c>
      <c r="I12" s="7">
        <f>IF(OR(G12="",G12=0),"",ROUND(H12/G12*100,1))</f>
        <v/>
      </c>
      <c r="J12" s="3">
        <f>IF(G12="","쿠팡가없음",IF(H12&gt;=10,"✅마진OK","❌미달"))</f>
        <v/>
      </c>
      <c r="K12" s="4" t="inlineStr">
        <is>
          <t>다나와:SSG.COM</t>
        </is>
      </c>
      <c r="L12" s="5" t="n">
        <v>40454</v>
      </c>
      <c r="M12" s="5" t="n"/>
      <c r="N12" s="5" t="n"/>
      <c r="O12" s="8" t="inlineStr"/>
      <c r="P12" s="3" t="n">
        <v>50</v>
      </c>
      <c r="Q12" s="3" t="inlineStr">
        <is>
          <t>일반추정</t>
        </is>
      </c>
      <c r="R12" s="4" t="inlineStr">
        <is>
          <t>⚠확인필요(봇 접근불가 항목): 매입처 페이지에서 잔여재고 10개 초과 &amp; 1일 구매제한 없음 확인 후 매입</t>
        </is>
      </c>
      <c r="S12" s="4" t="inlineStr"/>
    </row>
    <row r="13" ht="28" customHeight="1">
      <c r="A13" s="3" t="inlineStr">
        <is>
          <t>경기농산</t>
        </is>
      </c>
      <c r="B13" s="3" t="inlineStr">
        <is>
          <t>신동진쌀 10kg</t>
        </is>
      </c>
      <c r="C13" s="4" t="inlineStr">
        <is>
          <t>황금빛 신동진 10kg</t>
        </is>
      </c>
      <c r="D13" s="5" t="n">
        <v>34560</v>
      </c>
      <c r="E13" s="6" t="inlineStr">
        <is>
          <t>https://prod.danawa.com/info/?pcode=110991175</t>
        </is>
      </c>
      <c r="F13" s="6" t="inlineStr">
        <is>
          <t>https://www.coupang.com/np/search?q=황금빛 신동진 10kg</t>
        </is>
      </c>
      <c r="G13" s="5" t="n">
        <v>36380</v>
      </c>
      <c r="H13" s="5">
        <f>IF(OR(G13="",D13=""),"",ROUND(G13-D13-G13*0.1188,0))</f>
        <v/>
      </c>
      <c r="I13" s="7">
        <f>IF(OR(G13="",G13=0),"",ROUND(H13/G13*100,1))</f>
        <v/>
      </c>
      <c r="J13" s="3">
        <f>IF(G13="","쿠팡가없음",IF(H13&gt;=10,"✅마진OK","❌미달"))</f>
        <v/>
      </c>
      <c r="K13" s="4" t="inlineStr">
        <is>
          <t>다나와:옥션</t>
        </is>
      </c>
      <c r="L13" s="5" t="n">
        <v>34560</v>
      </c>
      <c r="M13" s="5" t="n"/>
      <c r="N13" s="5" t="n"/>
      <c r="O13" s="8" t="inlineStr"/>
      <c r="P13" s="3" t="n">
        <v>83</v>
      </c>
      <c r="Q13" s="3" t="inlineStr">
        <is>
          <t>일반추정</t>
        </is>
      </c>
      <c r="R13" s="4" t="inlineStr">
        <is>
          <t>⚠확인필요(봇 접근불가 항목): 매입처 페이지에서 잔여재고 10개 초과 &amp; 1일 구매제한 없음 확인 후 매입</t>
        </is>
      </c>
      <c r="S13" s="4" t="inlineStr"/>
    </row>
    <row r="14" ht="28" customHeight="1">
      <c r="A14" s="3" t="inlineStr">
        <is>
          <t>이천라이스센터</t>
        </is>
      </c>
      <c r="B14" s="3" t="inlineStr">
        <is>
          <t>이천쌀 알찬미</t>
        </is>
      </c>
      <c r="C14" s="4" t="inlineStr">
        <is>
          <t>이천쌀 알찬미 상등급 10kg</t>
        </is>
      </c>
      <c r="D14" s="5" t="n">
        <v>39760</v>
      </c>
      <c r="E14" s="6" t="inlineStr">
        <is>
          <t>https://prod.danawa.com/info/?pcode=112438339</t>
        </is>
      </c>
      <c r="F14" s="6" t="inlineStr">
        <is>
          <t>https://www.coupang.com/np/search?q=이천쌀 알찬미 상등급 10kg</t>
        </is>
      </c>
      <c r="G14" s="5" t="n">
        <v>41790</v>
      </c>
      <c r="H14" s="5">
        <f>IF(OR(G14="",D14=""),"",ROUND(G14-D14-G14*0.1188,0))</f>
        <v/>
      </c>
      <c r="I14" s="7">
        <f>IF(OR(G14="",G14=0),"",ROUND(H14/G14*100,1))</f>
        <v/>
      </c>
      <c r="J14" s="3" t="inlineStr">
        <is>
          <t>제외(로켓)</t>
        </is>
      </c>
      <c r="K14" s="4" t="inlineStr">
        <is>
          <t>다나와:11번가</t>
        </is>
      </c>
      <c r="L14" s="5" t="n">
        <v>39760</v>
      </c>
      <c r="M14" s="5" t="n"/>
      <c r="N14" s="5" t="n"/>
      <c r="O14" s="8" t="inlineStr"/>
      <c r="P14" s="3" t="n">
        <v>311</v>
      </c>
      <c r="Q14" s="3" t="inlineStr">
        <is>
          <t>🚀로켓표기</t>
        </is>
      </c>
      <c r="R14" s="4" t="inlineStr">
        <is>
          <t>⚠확인필요(봇 접근불가 항목): 매입처 페이지에서 잔여재고 10개 초과 &amp; 1일 구매제한 없음 확인 후 매입</t>
        </is>
      </c>
      <c r="S14" s="4" t="inlineStr"/>
    </row>
    <row r="15" ht="28" customHeight="1">
      <c r="A15" s="3" t="inlineStr">
        <is>
          <t>햇살드리(화성)</t>
        </is>
      </c>
      <c r="B15" s="3" t="inlineStr">
        <is>
          <t>수향미 10kg</t>
        </is>
      </c>
      <c r="C15" s="4" t="inlineStr">
        <is>
          <t>수향미 상등급 10kg</t>
        </is>
      </c>
      <c r="D15" s="5" t="n">
        <v>39760</v>
      </c>
      <c r="E15" s="6" t="inlineStr">
        <is>
          <t>https://prod.danawa.com/info/?pcode=97703396</t>
        </is>
      </c>
      <c r="F15" s="6" t="inlineStr">
        <is>
          <t>https://www.coupang.com/np/search?q=수향미 상등급 10kg</t>
        </is>
      </c>
      <c r="G15" s="5" t="n">
        <v>41600</v>
      </c>
      <c r="H15" s="5">
        <f>IF(OR(G15="",D15=""),"",ROUND(G15-D15-G15*0.1188,0))</f>
        <v/>
      </c>
      <c r="I15" s="7">
        <f>IF(OR(G15="",G15=0),"",ROUND(H15/G15*100,1))</f>
        <v/>
      </c>
      <c r="J15" s="3" t="inlineStr">
        <is>
          <t>제외(품절)</t>
        </is>
      </c>
      <c r="K15" s="4" t="inlineStr">
        <is>
          <t>다나와:11번가</t>
        </is>
      </c>
      <c r="L15" s="5" t="n">
        <v>39760</v>
      </c>
      <c r="M15" s="5" t="n">
        <v>39760</v>
      </c>
      <c r="N15" s="5" t="n"/>
      <c r="O15" s="8" t="inlineStr"/>
      <c r="P15" s="3" t="n">
        <v>812</v>
      </c>
      <c r="Q15" s="3" t="inlineStr">
        <is>
          <t>일반추정</t>
        </is>
      </c>
      <c r="R15" s="4" t="inlineStr">
        <is>
          <t>⚠확인필요(봇 접근불가 항목): 매입처 페이지에서 잔여재고 10개 초과 &amp; 1일 구매제한 없음 확인 후 매입</t>
        </is>
      </c>
      <c r="S15" s="4" t="inlineStr">
        <is>
          <t>판매상태:쿠팡 동일스펙 로켓상품 품절(폴센트) | ⚠쿠팡 로켓 품절 — 등재가 41,600 리스팅과 동일여부 미확정 | G마켓 34,940은 카드혜택가라 제외. 2개묶음 77,800(개당 38,900)</t>
        </is>
      </c>
    </row>
    <row r="16" ht="28" customHeight="1">
      <c r="A16" s="3" t="inlineStr">
        <is>
          <t>동송농협</t>
        </is>
      </c>
      <c r="B16" s="3" t="inlineStr">
        <is>
          <t>철원오대쌀 10kg</t>
        </is>
      </c>
      <c r="C16" s="4" t="inlineStr">
        <is>
          <t>철원 오대쌀 10kg(동송농협)</t>
        </is>
      </c>
      <c r="D16" s="5" t="n">
        <v>40320</v>
      </c>
      <c r="E16" s="6" t="inlineStr">
        <is>
          <t>https://prod.danawa.com/info/?pcode=28157102</t>
        </is>
      </c>
      <c r="F16" s="6" t="inlineStr">
        <is>
          <t>https://www.coupang.com/np/search?q=철원 오대쌀 10kg</t>
        </is>
      </c>
      <c r="G16" s="5" t="n">
        <v>42200</v>
      </c>
      <c r="H16" s="5">
        <f>IF(OR(G16="",D16=""),"",ROUND(G16-D16-G16*0.1188,0))</f>
        <v/>
      </c>
      <c r="I16" s="7">
        <f>IF(OR(G16="",G16=0),"",ROUND(H16/G16*100,1))</f>
        <v/>
      </c>
      <c r="J16" s="3">
        <f>IF(G16="","쿠팡가없음",IF(H16&gt;=10,"✅마진OK","❌미달"))</f>
        <v/>
      </c>
      <c r="K16" s="4" t="inlineStr">
        <is>
          <t>다나와:옥션</t>
        </is>
      </c>
      <c r="L16" s="5" t="n">
        <v>40320</v>
      </c>
      <c r="M16" s="5" t="n"/>
      <c r="N16" s="5" t="n"/>
      <c r="O16" s="8" t="inlineStr"/>
      <c r="P16" s="3" t="n">
        <v>510</v>
      </c>
      <c r="Q16" s="3" t="inlineStr">
        <is>
          <t>일반추정</t>
        </is>
      </c>
      <c r="R16" s="4" t="inlineStr">
        <is>
          <t>⚠확인필요(봇 접근불가 항목): 매입처 페이지에서 잔여재고 10개 초과 &amp; 1일 구매제한 없음 확인 후 매입</t>
        </is>
      </c>
      <c r="S16" s="4" t="inlineStr"/>
    </row>
    <row r="17" ht="28" customHeight="1">
      <c r="A17" s="3" t="inlineStr">
        <is>
          <t>서안성농협</t>
        </is>
      </c>
      <c r="B17" s="3" t="inlineStr">
        <is>
          <t>고시히카리 10kg</t>
        </is>
      </c>
      <c r="C17" s="4" t="inlineStr">
        <is>
          <t>안성 고시히카리 특등급 10kg</t>
        </is>
      </c>
      <c r="D17" s="5" t="n">
        <v>39240</v>
      </c>
      <c r="E17" s="6" t="inlineStr">
        <is>
          <t>https://prod.danawa.com/info/?pcode=111284495</t>
        </is>
      </c>
      <c r="F17" s="6" t="inlineStr">
        <is>
          <t>https://www.coupang.com/np/search?q=안성 고시히카리 특등급 10kg</t>
        </is>
      </c>
      <c r="G17" s="5" t="n">
        <v>40900</v>
      </c>
      <c r="H17" s="5">
        <f>IF(OR(G17="",D17=""),"",ROUND(G17-D17-G17*0.1188,0))</f>
        <v/>
      </c>
      <c r="I17" s="7">
        <f>IF(OR(G17="",G17=0),"",ROUND(H17/G17*100,1))</f>
        <v/>
      </c>
      <c r="J17" s="3">
        <f>IF(G17="","쿠팡가없음",IF(H17&gt;=10,"✅마진OK","❌미달"))</f>
        <v/>
      </c>
      <c r="K17" s="4" t="inlineStr">
        <is>
          <t>다나와:11번가</t>
        </is>
      </c>
      <c r="L17" s="5" t="n">
        <v>39240</v>
      </c>
      <c r="M17" s="5" t="n"/>
      <c r="N17" s="5" t="n"/>
      <c r="O17" s="8" t="inlineStr"/>
      <c r="P17" s="3" t="n">
        <v>81</v>
      </c>
      <c r="Q17" s="3" t="inlineStr">
        <is>
          <t>일반추정</t>
        </is>
      </c>
      <c r="R17" s="4" t="inlineStr">
        <is>
          <t>⚠확인필요(봇 접근불가 항목): 매입처 페이지에서 잔여재고 10개 초과 &amp; 1일 구매제한 없음 확인 후 매입</t>
        </is>
      </c>
      <c r="S17" s="4" t="inlineStr"/>
    </row>
    <row r="18" ht="28" customHeight="1">
      <c r="A18" s="3" t="inlineStr">
        <is>
          <t>농협 한토래</t>
        </is>
      </c>
      <c r="B18" s="3" t="inlineStr">
        <is>
          <t>고시히카리 10kg</t>
        </is>
      </c>
      <c r="C18" s="4" t="inlineStr">
        <is>
          <t>한토래 경기미 고시히카리 10kg</t>
        </is>
      </c>
      <c r="D18" s="5" t="n">
        <v>39390</v>
      </c>
      <c r="E18" s="6" t="inlineStr">
        <is>
          <t>https://prod.danawa.com/info/?pcode=32345525</t>
        </is>
      </c>
      <c r="F18" s="6" t="inlineStr">
        <is>
          <t>https://www.coupang.com/np/search?q=한토래 경기미 고시히카리 10kg</t>
        </is>
      </c>
      <c r="G18" s="5" t="n">
        <v>40950</v>
      </c>
      <c r="H18" s="5">
        <f>IF(OR(G18="",D18=""),"",ROUND(G18-D18-G18*0.1188,0))</f>
        <v/>
      </c>
      <c r="I18" s="7">
        <f>IF(OR(G18="",G18=0),"",ROUND(H18/G18*100,1))</f>
        <v/>
      </c>
      <c r="J18" s="3">
        <f>IF(G18="","쿠팡가없음",IF(H18&gt;=10,"✅마진OK","❌미달"))</f>
        <v/>
      </c>
      <c r="K18" s="4" t="inlineStr">
        <is>
          <t>다나와:옥션</t>
        </is>
      </c>
      <c r="L18" s="5" t="n">
        <v>39390</v>
      </c>
      <c r="M18" s="5" t="n"/>
      <c r="N18" s="5" t="n"/>
      <c r="O18" s="8" t="inlineStr"/>
      <c r="P18" s="3" t="n">
        <v>64</v>
      </c>
      <c r="Q18" s="3" t="inlineStr">
        <is>
          <t>일반추정</t>
        </is>
      </c>
      <c r="R18" s="4" t="inlineStr">
        <is>
          <t>⚠확인필요(봇 접근불가 항목): 매입처 페이지에서 잔여재고 10개 초과 &amp; 1일 구매제한 없음 확인 후 매입</t>
        </is>
      </c>
      <c r="S18" s="4" t="inlineStr"/>
    </row>
    <row r="19" ht="28" customHeight="1">
      <c r="A19" s="3" t="inlineStr">
        <is>
          <t>철원농협</t>
        </is>
      </c>
      <c r="B19" s="3" t="inlineStr">
        <is>
          <t>철원오대쌀 10kg</t>
        </is>
      </c>
      <c r="C19" s="4" t="inlineStr">
        <is>
          <t>철원 오대쌀 10kg(철원농협)</t>
        </is>
      </c>
      <c r="D19" s="5" t="n">
        <v>39240</v>
      </c>
      <c r="E19" s="6" t="inlineStr">
        <is>
          <t>https://prod.danawa.com/info/?pcode=65422085</t>
        </is>
      </c>
      <c r="F19" s="6" t="inlineStr">
        <is>
          <t>https://www.coupang.com/np/search?q=철원 오대쌀 10kg</t>
        </is>
      </c>
      <c r="G19" s="5" t="n">
        <v>40700</v>
      </c>
      <c r="H19" s="5">
        <f>IF(OR(G19="",D19=""),"",ROUND(G19-D19-G19*0.1188,0))</f>
        <v/>
      </c>
      <c r="I19" s="7">
        <f>IF(OR(G19="",G19=0),"",ROUND(H19/G19*100,1))</f>
        <v/>
      </c>
      <c r="J19" s="3">
        <f>IF(G19="","쿠팡가없음",IF(H19&gt;=10,"✅마진OK","❌미달"))</f>
        <v/>
      </c>
      <c r="K19" s="4" t="inlineStr">
        <is>
          <t>다나와:11번가</t>
        </is>
      </c>
      <c r="L19" s="5" t="n">
        <v>39240</v>
      </c>
      <c r="M19" s="5" t="n"/>
      <c r="N19" s="5" t="n"/>
      <c r="O19" s="8" t="inlineStr"/>
      <c r="P19" s="3" t="n">
        <v>42</v>
      </c>
      <c r="Q19" s="3" t="inlineStr">
        <is>
          <t>일반추정</t>
        </is>
      </c>
      <c r="R19" s="4" t="inlineStr">
        <is>
          <t>⚠확인필요(봇 접근불가 항목): 매입처 페이지에서 잔여재고 10개 초과 &amp; 1일 구매제한 없음 확인 후 매입</t>
        </is>
      </c>
      <c r="S19" s="4" t="inlineStr"/>
    </row>
    <row r="20" ht="28" customHeight="1">
      <c r="A20" s="3" t="inlineStr">
        <is>
          <t>햇살드리</t>
        </is>
      </c>
      <c r="B20" s="3" t="inlineStr">
        <is>
          <t>수향미 칠분도</t>
        </is>
      </c>
      <c r="C20" s="4" t="inlineStr">
        <is>
          <t>수향미 칠분도미 10kg</t>
        </is>
      </c>
      <c r="D20" s="5" t="n">
        <v>45515</v>
      </c>
      <c r="E20" s="6" t="inlineStr">
        <is>
          <t>https://prod.danawa.com/info/?pcode=122710156</t>
        </is>
      </c>
      <c r="F20" s="6" t="inlineStr">
        <is>
          <t>https://www.coupang.com/np/search?q=수향미 칠분도미 10kg</t>
        </is>
      </c>
      <c r="G20" s="5" t="n">
        <v>46880</v>
      </c>
      <c r="H20" s="5">
        <f>IF(OR(G20="",D20=""),"",ROUND(G20-D20-G20*0.1188,0))</f>
        <v/>
      </c>
      <c r="I20" s="7">
        <f>IF(OR(G20="",G20=0),"",ROUND(H20/G20*100,1))</f>
        <v/>
      </c>
      <c r="J20" s="3">
        <f>IF(G20="","쿠팡가없음",IF(H20&gt;=10,"✅마진OK","❌미달"))</f>
        <v/>
      </c>
      <c r="K20" s="4" t="inlineStr">
        <is>
          <t>다나와:SSG.COM</t>
        </is>
      </c>
      <c r="L20" s="5" t="n">
        <v>45515</v>
      </c>
      <c r="M20" s="5" t="n"/>
      <c r="N20" s="5" t="n"/>
      <c r="O20" s="8" t="inlineStr"/>
      <c r="P20" s="3" t="n">
        <v>44</v>
      </c>
      <c r="Q20" s="3" t="inlineStr">
        <is>
          <t>일반추정</t>
        </is>
      </c>
      <c r="R20" s="4" t="inlineStr">
        <is>
          <t>⚠확인필요(봇 접근불가 항목): 매입처 페이지에서 잔여재고 10개 초과 &amp; 1일 구매제한 없음 확인 후 매입</t>
        </is>
      </c>
      <c r="S20" s="4" t="inlineStr"/>
    </row>
    <row r="21" ht="28" customHeight="1">
      <c r="A21" s="3" t="inlineStr">
        <is>
          <t>햇살드리</t>
        </is>
      </c>
      <c r="B21" s="3" t="inlineStr">
        <is>
          <t>수향미 오분도</t>
        </is>
      </c>
      <c r="C21" s="4" t="inlineStr">
        <is>
          <t>수향미 오분도미 10kg</t>
        </is>
      </c>
      <c r="D21" s="5" t="n">
        <v>45591</v>
      </c>
      <c r="E21" s="6" t="inlineStr">
        <is>
          <t>https://prod.danawa.com/info/?pcode=122710093</t>
        </is>
      </c>
      <c r="F21" s="6" t="inlineStr">
        <is>
          <t>https://www.coupang.com/np/search?q=수향미 오분도미 10kg</t>
        </is>
      </c>
      <c r="G21" s="5" t="n">
        <v>46870</v>
      </c>
      <c r="H21" s="5">
        <f>IF(OR(G21="",D21=""),"",ROUND(G21-D21-G21*0.1188,0))</f>
        <v/>
      </c>
      <c r="I21" s="7">
        <f>IF(OR(G21="",G21=0),"",ROUND(H21/G21*100,1))</f>
        <v/>
      </c>
      <c r="J21" s="3">
        <f>IF(G21="","쿠팡가없음",IF(H21&gt;=10,"✅마진OK","❌미달"))</f>
        <v/>
      </c>
      <c r="K21" s="4" t="inlineStr">
        <is>
          <t>다나와:SSG.COM</t>
        </is>
      </c>
      <c r="L21" s="5" t="n">
        <v>45591</v>
      </c>
      <c r="M21" s="5" t="n"/>
      <c r="N21" s="5" t="n"/>
      <c r="O21" s="8" t="inlineStr"/>
      <c r="P21" s="3" t="n">
        <v>42</v>
      </c>
      <c r="Q21" s="3" t="inlineStr">
        <is>
          <t>일반추정</t>
        </is>
      </c>
      <c r="R21" s="4" t="inlineStr">
        <is>
          <t>⚠확인필요(봇 접근불가 항목): 매입처 페이지에서 잔여재고 10개 초과 &amp; 1일 구매제한 없음 확인 후 매입</t>
        </is>
      </c>
      <c r="S21" s="4" t="inlineStr"/>
    </row>
    <row r="22" ht="28" customHeight="1">
      <c r="A22" s="3" t="inlineStr">
        <is>
          <t>햇살드리</t>
        </is>
      </c>
      <c r="B22" s="3" t="inlineStr">
        <is>
          <t>수향미 특등급</t>
        </is>
      </c>
      <c r="C22" s="4" t="inlineStr">
        <is>
          <t>수향미 특등급 10kg</t>
        </is>
      </c>
      <c r="D22" s="5" t="n">
        <v>45910</v>
      </c>
      <c r="E22" s="6" t="inlineStr">
        <is>
          <t>https://prod.danawa.com/info/?pcode=101536748</t>
        </is>
      </c>
      <c r="F22" s="6" t="inlineStr">
        <is>
          <t>https://www.coupang.com/np/search?q=수향미 특등급 10kg</t>
        </is>
      </c>
      <c r="G22" s="5" t="n">
        <v>47000</v>
      </c>
      <c r="H22" s="5">
        <f>IF(OR(G22="",D22=""),"",ROUND(G22-D22-G22*0.1188,0))</f>
        <v/>
      </c>
      <c r="I22" s="7">
        <f>IF(OR(G22="",G22=0),"",ROUND(H22/G22*100,1))</f>
        <v/>
      </c>
      <c r="J22" s="3">
        <f>IF(G22="","쿠팡가없음",IF(H22&gt;=10,"✅마진OK","❌미달"))</f>
        <v/>
      </c>
      <c r="K22" s="4" t="inlineStr">
        <is>
          <t>다나와:G마켓</t>
        </is>
      </c>
      <c r="L22" s="5" t="n">
        <v>45910</v>
      </c>
      <c r="M22" s="5" t="n"/>
      <c r="N22" s="5" t="n"/>
      <c r="O22" s="8" t="inlineStr"/>
      <c r="P22" s="3" t="n">
        <v>27</v>
      </c>
      <c r="Q22" s="3" t="inlineStr">
        <is>
          <t>일반추정</t>
        </is>
      </c>
      <c r="R22" s="4" t="inlineStr">
        <is>
          <t>⚠확인필요(봇 접근불가 항목): 매입처 페이지에서 잔여재고 10개 초과 &amp; 1일 구매제한 없음 확인 후 매입</t>
        </is>
      </c>
      <c r="S22" s="4" t="inlineStr"/>
    </row>
    <row r="23" ht="28" customHeight="1">
      <c r="A23" s="3" t="inlineStr">
        <is>
          <t>평택안중농협</t>
        </is>
      </c>
      <c r="B23" s="3" t="inlineStr">
        <is>
          <t>고시히카리 10kg</t>
        </is>
      </c>
      <c r="C23" s="4" t="inlineStr">
        <is>
          <t>슈퍼오닝 고시히카리 특등급 10kg</t>
        </is>
      </c>
      <c r="D23" s="5" t="n">
        <v>41890</v>
      </c>
      <c r="E23" s="6" t="inlineStr">
        <is>
          <t>https://prod.danawa.com/info/?pcode=97646780</t>
        </is>
      </c>
      <c r="F23" s="6" t="inlineStr">
        <is>
          <t>https://www.coupang.com/np/search?q=슈퍼오닝 고시히카리 특등급 10kg</t>
        </is>
      </c>
      <c r="G23" s="5" t="n">
        <v>41900</v>
      </c>
      <c r="H23" s="5">
        <f>IF(OR(G23="",D23=""),"",ROUND(G23-D23-G23*0.1188,0))</f>
        <v/>
      </c>
      <c r="I23" s="7">
        <f>IF(OR(G23="",G23=0),"",ROUND(H23/G23*100,1))</f>
        <v/>
      </c>
      <c r="J23" s="3">
        <f>IF(G23="","쿠팡가없음",IF(H23&gt;=10,"✅마진OK","❌미달"))</f>
        <v/>
      </c>
      <c r="K23" s="4" t="inlineStr">
        <is>
          <t>다나와:11번가</t>
        </is>
      </c>
      <c r="L23" s="5" t="n">
        <v>41890</v>
      </c>
      <c r="M23" s="5" t="n"/>
      <c r="N23" s="5" t="n"/>
      <c r="O23" s="8" t="inlineStr"/>
      <c r="P23" s="3" t="n">
        <v>274</v>
      </c>
      <c r="Q23" s="3" t="inlineStr">
        <is>
          <t>일반추정</t>
        </is>
      </c>
      <c r="R23" s="4" t="inlineStr">
        <is>
          <t>⚠확인필요(봇 접근불가 항목): 매입처 페이지에서 잔여재고 10개 초과 &amp; 1일 구매제한 없음 확인 후 매입</t>
        </is>
      </c>
      <c r="S23" s="4" t="inlineStr"/>
    </row>
    <row r="24" ht="28" customHeight="1">
      <c r="A24" s="3" t="inlineStr">
        <is>
          <t>햇살드리</t>
        </is>
      </c>
      <c r="B24" s="3" t="inlineStr">
        <is>
          <t>수향미 4kg</t>
        </is>
      </c>
      <c r="C24" s="4" t="inlineStr">
        <is>
          <t>수향미 2024 4kg</t>
        </is>
      </c>
      <c r="D24" s="5" t="n">
        <v>50990</v>
      </c>
      <c r="E24" s="6" t="inlineStr">
        <is>
          <t>https://prod.danawa.com/info/?pcode=68533022</t>
        </is>
      </c>
      <c r="F24" s="6" t="inlineStr">
        <is>
          <t>https://www.coupang.com/np/search?q=수향미 2024 4kg</t>
        </is>
      </c>
      <c r="G24" s="5" t="n">
        <v>20800</v>
      </c>
      <c r="H24" s="5">
        <f>IF(OR(G24="",D24=""),"",ROUND(G24-D24-G24*0.1188,0))</f>
        <v/>
      </c>
      <c r="I24" s="7">
        <f>IF(OR(G24="",G24=0),"",ROUND(H24/G24*100,1))</f>
        <v/>
      </c>
      <c r="J24" s="3" t="inlineStr">
        <is>
          <t>제외(로켓)</t>
        </is>
      </c>
      <c r="K24" s="4" t="inlineStr">
        <is>
          <t>다나와:롯데ON</t>
        </is>
      </c>
      <c r="L24" s="5" t="n">
        <v>50990</v>
      </c>
      <c r="M24" s="5" t="n"/>
      <c r="N24" s="5" t="n"/>
      <c r="O24" s="8" t="inlineStr"/>
      <c r="P24" s="3" t="n">
        <v>36</v>
      </c>
      <c r="Q24" s="3" t="inlineStr">
        <is>
          <t>🚀로켓표기</t>
        </is>
      </c>
      <c r="R24" s="4" t="inlineStr">
        <is>
          <t>⚠확인필요(봇 접근불가 항목): 매입처 페이지에서 잔여재고 10개 초과 &amp; 1일 구매제한 없음 확인 후 매입</t>
        </is>
      </c>
      <c r="S24" s="4" t="inlineStr">
        <is>
          <t>구성 혼재(4kg×2 vs 1개) — 매칭 주의</t>
        </is>
      </c>
    </row>
    <row r="25" ht="28" customHeight="1">
      <c r="A25" s="3" t="inlineStr">
        <is>
          <t>호법농협</t>
        </is>
      </c>
      <c r="B25" s="3" t="inlineStr">
        <is>
          <t>이천쌀 진광미</t>
        </is>
      </c>
      <c r="C25" s="4" t="inlineStr">
        <is>
          <t>이천쌀 진광미 상등급 10kg×2</t>
        </is>
      </c>
      <c r="D25" s="5" t="n">
        <v>83760</v>
      </c>
      <c r="E25" s="6" t="inlineStr">
        <is>
          <t>https://prod.danawa.com/info/?pcode=97106711</t>
        </is>
      </c>
      <c r="F25" s="6" t="inlineStr">
        <is>
          <t>https://www.coupang.com/np/search?q=이천쌀 진광미 상등급 10kg×2</t>
        </is>
      </c>
      <c r="G25" s="5" t="n"/>
      <c r="H25" s="5">
        <f>IF(OR(G25="",D25=""),"",ROUND(G25-D25-G25*0.1188,0))</f>
        <v/>
      </c>
      <c r="I25" s="7">
        <f>IF(OR(G25="",G25=0),"",ROUND(H25/G25*100,1))</f>
        <v/>
      </c>
      <c r="J25" s="3" t="inlineStr">
        <is>
          <t>미등재</t>
        </is>
      </c>
      <c r="K25" s="4" t="inlineStr">
        <is>
          <t>다나와:옥션</t>
        </is>
      </c>
      <c r="L25" s="5" t="n">
        <v>83760</v>
      </c>
      <c r="M25" s="5" t="n"/>
      <c r="N25" s="5" t="n"/>
      <c r="O25" s="8" t="inlineStr"/>
      <c r="P25" s="3" t="n">
        <v>34</v>
      </c>
      <c r="Q25" s="3" t="inlineStr">
        <is>
          <t>미등재</t>
        </is>
      </c>
      <c r="R25" s="4" t="inlineStr">
        <is>
          <t>⚠확인필요(봇 접근불가 항목): 매입처 페이지에서 잔여재고 10개 초과 &amp; 1일 구매제한 없음 확인 후 매입</t>
        </is>
      </c>
      <c r="S25" s="4" t="inlineStr">
        <is>
          <t>구성 10kg×2 표시 — 매칭 주의</t>
        </is>
      </c>
    </row>
    <row r="26" ht="28" customHeight="1">
      <c r="A26" s="3" t="inlineStr">
        <is>
          <t>이천라이스센터</t>
        </is>
      </c>
      <c r="B26" s="3" t="inlineStr">
        <is>
          <t>이천쌀 해들미</t>
        </is>
      </c>
      <c r="C26" s="4" t="inlineStr">
        <is>
          <t>이천쌀 해들미 상등급 10kg</t>
        </is>
      </c>
      <c r="D26" s="5" t="n">
        <v>54390</v>
      </c>
      <c r="E26" s="6" t="inlineStr">
        <is>
          <t>https://prod.danawa.com/info/?pcode=106700150</t>
        </is>
      </c>
      <c r="F26" s="6" t="inlineStr">
        <is>
          <t>https://www.coupang.com/np/search?q=이천쌀 해들미 상등급 10kg</t>
        </is>
      </c>
      <c r="G26" s="5" t="n"/>
      <c r="H26" s="5">
        <f>IF(OR(G26="",D26=""),"",ROUND(G26-D26-G26*0.1188,0))</f>
        <v/>
      </c>
      <c r="I26" s="7">
        <f>IF(OR(G26="",G26=0),"",ROUND(H26/G26*100,1))</f>
        <v/>
      </c>
      <c r="J26" s="3" t="inlineStr">
        <is>
          <t>미등재</t>
        </is>
      </c>
      <c r="K26" s="4" t="inlineStr">
        <is>
          <t>다나와:G마켓</t>
        </is>
      </c>
      <c r="L26" s="5" t="n">
        <v>54390</v>
      </c>
      <c r="M26" s="5" t="n"/>
      <c r="N26" s="5" t="n"/>
      <c r="O26" s="8" t="inlineStr"/>
      <c r="P26" s="3" t="n">
        <v>13</v>
      </c>
      <c r="Q26" s="3" t="inlineStr">
        <is>
          <t>미등재</t>
        </is>
      </c>
      <c r="R26" s="4" t="inlineStr">
        <is>
          <t>⚠확인필요(봇 접근불가 항목): 매입처 페이지에서 잔여재고 10개 초과 &amp; 1일 구매제한 없음 확인 후 매입</t>
        </is>
      </c>
      <c r="S26" s="4" t="inlineStr"/>
    </row>
    <row r="27" ht="28" customHeight="1">
      <c r="A27" s="3" t="inlineStr">
        <is>
          <t>영광군농협</t>
        </is>
      </c>
      <c r="B27" s="3" t="inlineStr">
        <is>
          <t>신동진쌀 10kg</t>
        </is>
      </c>
      <c r="C27" s="4" t="inlineStr">
        <is>
          <t>영광 신동진쌀 10kg×2</t>
        </is>
      </c>
      <c r="D27" s="5" t="n">
        <v>62170</v>
      </c>
      <c r="E27" s="6" t="inlineStr">
        <is>
          <t>https://prod.danawa.com/info/?pcode=112345633</t>
        </is>
      </c>
      <c r="F27" s="6" t="inlineStr">
        <is>
          <t>https://www.coupang.com/np/search?q=영광 신동진쌀 10kg×2</t>
        </is>
      </c>
      <c r="G27" s="5" t="n"/>
      <c r="H27" s="5">
        <f>IF(OR(G27="",D27=""),"",ROUND(G27-D27-G27*0.1188,0))</f>
        <v/>
      </c>
      <c r="I27" s="7">
        <f>IF(OR(G27="",G27=0),"",ROUND(H27/G27*100,1))</f>
        <v/>
      </c>
      <c r="J27" s="3" t="inlineStr">
        <is>
          <t>미등재</t>
        </is>
      </c>
      <c r="K27" s="4" t="inlineStr">
        <is>
          <t>다나와:11번가</t>
        </is>
      </c>
      <c r="L27" s="5" t="n">
        <v>62170</v>
      </c>
      <c r="M27" s="5" t="n"/>
      <c r="N27" s="5" t="n"/>
      <c r="O27" s="8" t="inlineStr"/>
      <c r="P27" s="3" t="n">
        <v>140</v>
      </c>
      <c r="Q27" s="3" t="inlineStr">
        <is>
          <t>미등재</t>
        </is>
      </c>
      <c r="R27" s="4" t="inlineStr">
        <is>
          <t>⚠확인필요(봇 접근불가 항목): 매입처 페이지에서 잔여재고 10개 초과 &amp; 1일 구매제한 없음 확인 후 매입</t>
        </is>
      </c>
      <c r="S27" s="4" t="inlineStr">
        <is>
          <t>구성 10kg×2. 카드전용가 제외</t>
        </is>
      </c>
    </row>
    <row r="28" ht="28" customHeight="1">
      <c r="A28" s="3" t="inlineStr">
        <is>
          <t>한음미가</t>
        </is>
      </c>
      <c r="B28" s="3" t="inlineStr">
        <is>
          <t>신동진쌀 10kg</t>
        </is>
      </c>
      <c r="C28" s="4" t="inlineStr">
        <is>
          <t>신동진 특등급 10kg</t>
        </is>
      </c>
      <c r="D28" s="5" t="n"/>
      <c r="E28" s="6" t="inlineStr">
        <is>
          <t>https://prod.danawa.com/info/?pcode=59915132</t>
        </is>
      </c>
      <c r="F28" s="6" t="inlineStr">
        <is>
          <t>https://www.coupang.com/np/search?q=신동진 특등급 10kg</t>
        </is>
      </c>
      <c r="G28" s="5" t="n">
        <v>35900</v>
      </c>
      <c r="H28" s="5">
        <f>IF(OR(G28="",D28=""),"",ROUND(G28-D28-G28*0.1188,0))</f>
        <v/>
      </c>
      <c r="I28" s="7">
        <f>IF(OR(G28="",G28=0),"",ROUND(H28/G28*100,1))</f>
        <v/>
      </c>
      <c r="J28" s="3">
        <f>IF(G28="","쿠팡가없음",IF(H28&gt;=10,"✅마진OK","❌미달"))</f>
        <v/>
      </c>
      <c r="K28" s="4" t="inlineStr"/>
      <c r="L28" s="5" t="n"/>
      <c r="M28" s="5" t="n"/>
      <c r="N28" s="5" t="n"/>
      <c r="O28" s="8" t="inlineStr"/>
      <c r="P28" s="3" t="n">
        <v>5</v>
      </c>
      <c r="Q28" s="3" t="inlineStr">
        <is>
          <t>일반추정</t>
        </is>
      </c>
      <c r="R28" s="4" t="inlineStr">
        <is>
          <t>⚠확인필요(봇 접근불가 항목): 매입처 페이지에서 잔여재고 10개 초과 &amp; 1일 구매제한 없음 확인 후 매입</t>
        </is>
      </c>
      <c r="S28" s="4" t="inlineStr">
        <is>
          <t>쿠팡만 로드 — 비쿠팡가 미확인</t>
        </is>
      </c>
    </row>
    <row r="29" ht="28" customHeight="1">
      <c r="A29" s="3" t="inlineStr">
        <is>
          <t>오곡영농</t>
        </is>
      </c>
      <c r="B29" s="3" t="inlineStr">
        <is>
          <t>신동진쌀 10kg</t>
        </is>
      </c>
      <c r="C29" s="4" t="inlineStr">
        <is>
          <t>신동진쌀 10kg(오곡)</t>
        </is>
      </c>
      <c r="D29" s="5" t="n">
        <v>32220</v>
      </c>
      <c r="E29" s="6" t="inlineStr">
        <is>
          <t>https://prod.danawa.com/info/?pcode=116304884</t>
        </is>
      </c>
      <c r="F29" s="6" t="inlineStr">
        <is>
          <t>https://www.coupang.com/np/search?q=신동진쌀 10kg</t>
        </is>
      </c>
      <c r="G29" s="5" t="n"/>
      <c r="H29" s="5">
        <f>IF(OR(G29="",D29=""),"",ROUND(G29-D29-G29*0.1188,0))</f>
        <v/>
      </c>
      <c r="I29" s="7">
        <f>IF(OR(G29="",G29=0),"",ROUND(H29/G29*100,1))</f>
        <v/>
      </c>
      <c r="J29" s="3" t="inlineStr">
        <is>
          <t>미등재</t>
        </is>
      </c>
      <c r="K29" s="4" t="inlineStr">
        <is>
          <t>다나와:옥션</t>
        </is>
      </c>
      <c r="L29" s="5" t="n">
        <v>32220</v>
      </c>
      <c r="M29" s="5" t="n"/>
      <c r="N29" s="5" t="n"/>
      <c r="O29" s="8" t="inlineStr"/>
      <c r="P29" s="3" t="n">
        <v>39</v>
      </c>
      <c r="Q29" s="3" t="inlineStr">
        <is>
          <t>미등재</t>
        </is>
      </c>
      <c r="R29" s="4" t="inlineStr">
        <is>
          <t>⚠확인필요(봇 접근불가 항목): 매입처 페이지에서 잔여재고 10개 초과 &amp; 1일 구매제한 없음 확인 후 매입</t>
        </is>
      </c>
      <c r="S29" s="4" t="inlineStr">
        <is>
          <t>카드전용가 제외</t>
        </is>
      </c>
    </row>
    <row r="30" ht="28" customHeight="1">
      <c r="A30" s="3" t="inlineStr">
        <is>
          <t>이쌀이다</t>
        </is>
      </c>
      <c r="B30" s="3" t="inlineStr">
        <is>
          <t>고시히카리 10kg</t>
        </is>
      </c>
      <c r="C30" s="4" t="inlineStr">
        <is>
          <t>경기미 고시히카리 10kg(이쌀이다)</t>
        </is>
      </c>
      <c r="D30" s="5" t="n">
        <v>38000</v>
      </c>
      <c r="E30" s="6" t="inlineStr">
        <is>
          <t>https://prod.danawa.com/info/?pcode=119972420</t>
        </is>
      </c>
      <c r="F30" s="6" t="inlineStr">
        <is>
          <t>https://www.coupang.com/np/search?q=경기미 고시히카리 10kg</t>
        </is>
      </c>
      <c r="G30" s="5" t="n"/>
      <c r="H30" s="5">
        <f>IF(OR(G30="",D30=""),"",ROUND(G30-D30-G30*0.1188,0))</f>
        <v/>
      </c>
      <c r="I30" s="7">
        <f>IF(OR(G30="",G30=0),"",ROUND(H30/G30*100,1))</f>
        <v/>
      </c>
      <c r="J30" s="3" t="inlineStr">
        <is>
          <t>미등재</t>
        </is>
      </c>
      <c r="K30" s="4" t="inlineStr">
        <is>
          <t>다나와:11번가</t>
        </is>
      </c>
      <c r="L30" s="5" t="n">
        <v>38000</v>
      </c>
      <c r="M30" s="5" t="n"/>
      <c r="N30" s="5" t="n"/>
      <c r="O30" s="8" t="inlineStr"/>
      <c r="P30" s="3" t="n">
        <v>36</v>
      </c>
      <c r="Q30" s="3" t="inlineStr">
        <is>
          <t>미등재</t>
        </is>
      </c>
      <c r="R30" s="4" t="inlineStr">
        <is>
          <t>⚠확인필요(봇 접근불가 항목): 매입처 페이지에서 잔여재고 10개 초과 &amp; 1일 구매제한 없음 확인 후 매입</t>
        </is>
      </c>
      <c r="S30" s="4" t="inlineStr">
        <is>
          <t>쿠팡 미등재</t>
        </is>
      </c>
    </row>
  </sheetData>
  <mergeCells count="1">
    <mergeCell ref="A1:S1"/>
  </mergeCells>
  <conditionalFormatting sqref="H3:H30">
    <cfRule type="cellIs" priority="1" operator="greaterThanOrEqual" dxfId="0">
      <formula>10</formula>
    </cfRule>
    <cfRule type="cellIs" priority="2" operator="lessThan" dxfId="1">
      <formula>10</formula>
    </cfRule>
  </conditionalFormatting>
  <conditionalFormatting sqref="Q3:Q30">
    <cfRule type="expression" priority="3" dxfId="2">
      <formula>ISNUMBER(SEARCH("로켓",Q3))</formula>
    </cfRule>
  </conditionalFormatting>
  <conditionalFormatting sqref="J3:J30">
    <cfRule type="expression" priority="4" dxfId="1">
      <formula>ISNUMBER(SEARCH("제외",J3))</formula>
    </cfRule>
  </conditionalFormatting>
  <hyperlinks>
    <hyperlink xmlns:r="http://schemas.openxmlformats.org/officeDocument/2006/relationships" ref="E3" r:id="rId1"/>
    <hyperlink xmlns:r="http://schemas.openxmlformats.org/officeDocument/2006/relationships" ref="F3" r:id="rId2"/>
    <hyperlink xmlns:r="http://schemas.openxmlformats.org/officeDocument/2006/relationships" ref="E4" r:id="rId3"/>
    <hyperlink xmlns:r="http://schemas.openxmlformats.org/officeDocument/2006/relationships" ref="F4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E6" r:id="rId7"/>
    <hyperlink xmlns:r="http://schemas.openxmlformats.org/officeDocument/2006/relationships" ref="F6" r:id="rId8"/>
    <hyperlink xmlns:r="http://schemas.openxmlformats.org/officeDocument/2006/relationships" ref="E7" r:id="rId9"/>
    <hyperlink xmlns:r="http://schemas.openxmlformats.org/officeDocument/2006/relationships" ref="F7" r:id="rId10"/>
    <hyperlink xmlns:r="http://schemas.openxmlformats.org/officeDocument/2006/relationships" ref="E8" r:id="rId11"/>
    <hyperlink xmlns:r="http://schemas.openxmlformats.org/officeDocument/2006/relationships" ref="F8" r:id="rId12"/>
    <hyperlink xmlns:r="http://schemas.openxmlformats.org/officeDocument/2006/relationships" ref="E9" r:id="rId13"/>
    <hyperlink xmlns:r="http://schemas.openxmlformats.org/officeDocument/2006/relationships" ref="F9" r:id="rId14"/>
    <hyperlink xmlns:r="http://schemas.openxmlformats.org/officeDocument/2006/relationships" ref="E10" r:id="rId15"/>
    <hyperlink xmlns:r="http://schemas.openxmlformats.org/officeDocument/2006/relationships" ref="F10" r:id="rId16"/>
    <hyperlink xmlns:r="http://schemas.openxmlformats.org/officeDocument/2006/relationships" ref="E11" r:id="rId17"/>
    <hyperlink xmlns:r="http://schemas.openxmlformats.org/officeDocument/2006/relationships" ref="F11" r:id="rId18"/>
    <hyperlink xmlns:r="http://schemas.openxmlformats.org/officeDocument/2006/relationships" ref="E12" r:id="rId19"/>
    <hyperlink xmlns:r="http://schemas.openxmlformats.org/officeDocument/2006/relationships" ref="F12" r:id="rId20"/>
    <hyperlink xmlns:r="http://schemas.openxmlformats.org/officeDocument/2006/relationships" ref="E13" r:id="rId21"/>
    <hyperlink xmlns:r="http://schemas.openxmlformats.org/officeDocument/2006/relationships" ref="F13" r:id="rId22"/>
    <hyperlink xmlns:r="http://schemas.openxmlformats.org/officeDocument/2006/relationships" ref="E14" r:id="rId23"/>
    <hyperlink xmlns:r="http://schemas.openxmlformats.org/officeDocument/2006/relationships" ref="F14" r:id="rId24"/>
    <hyperlink xmlns:r="http://schemas.openxmlformats.org/officeDocument/2006/relationships" ref="E15" r:id="rId25"/>
    <hyperlink xmlns:r="http://schemas.openxmlformats.org/officeDocument/2006/relationships" ref="F15" r:id="rId26"/>
    <hyperlink xmlns:r="http://schemas.openxmlformats.org/officeDocument/2006/relationships" ref="E16" r:id="rId27"/>
    <hyperlink xmlns:r="http://schemas.openxmlformats.org/officeDocument/2006/relationships" ref="F16" r:id="rId28"/>
    <hyperlink xmlns:r="http://schemas.openxmlformats.org/officeDocument/2006/relationships" ref="E17" r:id="rId29"/>
    <hyperlink xmlns:r="http://schemas.openxmlformats.org/officeDocument/2006/relationships" ref="F17" r:id="rId30"/>
    <hyperlink xmlns:r="http://schemas.openxmlformats.org/officeDocument/2006/relationships" ref="E18" r:id="rId31"/>
    <hyperlink xmlns:r="http://schemas.openxmlformats.org/officeDocument/2006/relationships" ref="F18" r:id="rId32"/>
    <hyperlink xmlns:r="http://schemas.openxmlformats.org/officeDocument/2006/relationships" ref="E19" r:id="rId33"/>
    <hyperlink xmlns:r="http://schemas.openxmlformats.org/officeDocument/2006/relationships" ref="F19" r:id="rId34"/>
    <hyperlink xmlns:r="http://schemas.openxmlformats.org/officeDocument/2006/relationships" ref="E20" r:id="rId35"/>
    <hyperlink xmlns:r="http://schemas.openxmlformats.org/officeDocument/2006/relationships" ref="F20" r:id="rId36"/>
    <hyperlink xmlns:r="http://schemas.openxmlformats.org/officeDocument/2006/relationships" ref="E21" r:id="rId37"/>
    <hyperlink xmlns:r="http://schemas.openxmlformats.org/officeDocument/2006/relationships" ref="F21" r:id="rId38"/>
    <hyperlink xmlns:r="http://schemas.openxmlformats.org/officeDocument/2006/relationships" ref="E22" r:id="rId39"/>
    <hyperlink xmlns:r="http://schemas.openxmlformats.org/officeDocument/2006/relationships" ref="F22" r:id="rId40"/>
    <hyperlink xmlns:r="http://schemas.openxmlformats.org/officeDocument/2006/relationships" ref="E23" r:id="rId41"/>
    <hyperlink xmlns:r="http://schemas.openxmlformats.org/officeDocument/2006/relationships" ref="F23" r:id="rId42"/>
    <hyperlink xmlns:r="http://schemas.openxmlformats.org/officeDocument/2006/relationships" ref="E24" r:id="rId43"/>
    <hyperlink xmlns:r="http://schemas.openxmlformats.org/officeDocument/2006/relationships" ref="F24" r:id="rId44"/>
    <hyperlink xmlns:r="http://schemas.openxmlformats.org/officeDocument/2006/relationships" ref="E25" r:id="rId45"/>
    <hyperlink xmlns:r="http://schemas.openxmlformats.org/officeDocument/2006/relationships" ref="F25" r:id="rId46"/>
    <hyperlink xmlns:r="http://schemas.openxmlformats.org/officeDocument/2006/relationships" ref="E26" r:id="rId47"/>
    <hyperlink xmlns:r="http://schemas.openxmlformats.org/officeDocument/2006/relationships" ref="F26" r:id="rId48"/>
    <hyperlink xmlns:r="http://schemas.openxmlformats.org/officeDocument/2006/relationships" ref="E27" r:id="rId49"/>
    <hyperlink xmlns:r="http://schemas.openxmlformats.org/officeDocument/2006/relationships" ref="F27" r:id="rId50"/>
    <hyperlink xmlns:r="http://schemas.openxmlformats.org/officeDocument/2006/relationships" ref="E28" r:id="rId51"/>
    <hyperlink xmlns:r="http://schemas.openxmlformats.org/officeDocument/2006/relationships" ref="F28" r:id="rId52"/>
    <hyperlink xmlns:r="http://schemas.openxmlformats.org/officeDocument/2006/relationships" ref="E29" r:id="rId53"/>
    <hyperlink xmlns:r="http://schemas.openxmlformats.org/officeDocument/2006/relationships" ref="F29" r:id="rId54"/>
    <hyperlink xmlns:r="http://schemas.openxmlformats.org/officeDocument/2006/relationships" ref="E30" r:id="rId55"/>
    <hyperlink xmlns:r="http://schemas.openxmlformats.org/officeDocument/2006/relationships" ref="F30" r:id="rId5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11" customWidth="1" min="4" max="4"/>
    <col width="16" customWidth="1" min="5" max="5"/>
    <col width="11" customWidth="1" min="6" max="6"/>
    <col width="13" customWidth="1" min="7" max="7"/>
    <col width="9" customWidth="1" min="8" max="8"/>
    <col width="24" customWidth="1" min="9" max="9"/>
    <col width="24" customWidth="1" min="10" max="10"/>
    <col width="24" customWidth="1" min="11" max="11"/>
    <col width="40" customWidth="1" min="12" max="12"/>
  </cols>
  <sheetData>
    <row r="1">
      <c r="A1" s="9" t="inlineStr">
        <is>
          <t>순위</t>
        </is>
      </c>
      <c r="B1" s="9" t="inlineStr">
        <is>
          <t>브랜드</t>
        </is>
      </c>
      <c r="C1" s="9" t="inlineStr">
        <is>
          <t>상품명</t>
        </is>
      </c>
      <c r="D1" s="9" t="inlineStr">
        <is>
          <t>최종 매입가</t>
        </is>
      </c>
      <c r="E1" s="9" t="inlineStr">
        <is>
          <t>매입처(출처)</t>
        </is>
      </c>
      <c r="F1" s="9" t="inlineStr">
        <is>
          <t>쿠팡 판매가</t>
        </is>
      </c>
      <c r="G1" s="9" t="inlineStr">
        <is>
          <t>예상마진(11.88%)</t>
        </is>
      </c>
      <c r="H1" s="9" t="inlineStr">
        <is>
          <t>마진율(%)</t>
        </is>
      </c>
      <c r="I1" s="9" t="inlineStr">
        <is>
          <t>다나와URL</t>
        </is>
      </c>
      <c r="J1" s="9" t="inlineStr">
        <is>
          <t>쿠팡URL</t>
        </is>
      </c>
      <c r="K1" s="9" t="inlineStr">
        <is>
          <t>네이버URL</t>
        </is>
      </c>
      <c r="L1" s="9" t="inlineStr">
        <is>
          <t>매입전 필수확인/주의</t>
        </is>
      </c>
    </row>
    <row r="2" ht="26" customHeight="1">
      <c r="A2" s="3" t="n">
        <v>1</v>
      </c>
      <c r="B2" s="3" t="inlineStr">
        <is>
          <t>햇살드리</t>
        </is>
      </c>
      <c r="C2" s="4" t="inlineStr">
        <is>
          <t>수향미 상등급 4kg</t>
        </is>
      </c>
      <c r="D2" s="5" t="n">
        <v>18220</v>
      </c>
      <c r="E2" s="4" t="inlineStr">
        <is>
          <t>다나와:옥션</t>
        </is>
      </c>
      <c r="F2" s="5" t="n">
        <v>21500</v>
      </c>
      <c r="G2" s="10" t="n">
        <v>726</v>
      </c>
      <c r="H2" s="7" t="n">
        <v>3.4</v>
      </c>
      <c r="I2" s="6" t="inlineStr">
        <is>
          <t>https://prod.danawa.com/info/?pcode=120682959</t>
        </is>
      </c>
      <c r="J2" s="6" t="inlineStr">
        <is>
          <t>https://www.coupang.com/np/search?q=수향미 상등급 4kg</t>
        </is>
      </c>
      <c r="K2" s="6" t="inlineStr"/>
      <c r="L2" s="4" t="inlineStr">
        <is>
          <t>재고&gt;10·구매제한없음 확인 필수 | 판매상태:판매중(폴센트) | 쿠팡 21,500은 폴센트 추적 리스팅 기준 — 등재가 19,300과 다른 리스팅</t>
        </is>
      </c>
    </row>
    <row r="3" ht="26" customHeight="1">
      <c r="A3" s="3" t="n">
        <v>2</v>
      </c>
      <c r="B3" s="3" t="inlineStr">
        <is>
          <t>철원농협</t>
        </is>
      </c>
      <c r="C3" s="4" t="inlineStr">
        <is>
          <t>철원 오대쌀 10kg(철원농협 2025)</t>
        </is>
      </c>
      <c r="D3" s="5" t="n">
        <v>39240</v>
      </c>
      <c r="E3" s="4" t="inlineStr">
        <is>
          <t>에누리:에누리(연산 미표기 리스팅 주의)</t>
        </is>
      </c>
      <c r="F3" s="5" t="n">
        <v>44800</v>
      </c>
      <c r="G3" s="10" t="n">
        <v>238</v>
      </c>
      <c r="H3" s="7" t="n">
        <v>0.5</v>
      </c>
      <c r="I3" s="6" t="inlineStr">
        <is>
          <t>https://prod.danawa.com/info/?pcode=121067023</t>
        </is>
      </c>
      <c r="J3" s="6" t="inlineStr">
        <is>
          <t>https://www.coupang.com/vp/products/7572887248</t>
        </is>
      </c>
      <c r="K3" s="6" t="inlineStr"/>
      <c r="L3" s="4" t="inlineStr">
        <is>
          <t>재고&gt;10·구매제한없음 확인 필수 | 판매상태:확인불가(쿠팡 403) | 쿠팡 URL은 2024햅쌀 표기 동일계열 — 2025 갱신·현재가 미검증</t>
        </is>
      </c>
    </row>
    <row r="4" ht="26" customHeight="1">
      <c r="A4" s="3" t="n">
        <v>3</v>
      </c>
      <c r="B4" s="3" t="inlineStr">
        <is>
          <t>임실농협</t>
        </is>
      </c>
      <c r="C4" s="4" t="inlineStr">
        <is>
          <t>행복드림 신동진 10kg(임실농협)</t>
        </is>
      </c>
      <c r="D4" s="5" t="n">
        <v>31950</v>
      </c>
      <c r="E4" s="4" t="inlineStr">
        <is>
          <t>다나와:옥션</t>
        </is>
      </c>
      <c r="F4" s="5" t="n">
        <v>36460</v>
      </c>
      <c r="G4" s="10" t="n">
        <v>179</v>
      </c>
      <c r="H4" s="7" t="n">
        <v>0.5</v>
      </c>
      <c r="I4" s="6" t="inlineStr">
        <is>
          <t>https://prod.danawa.com/info/?pcode=112124836</t>
        </is>
      </c>
      <c r="J4" s="6" t="inlineStr">
        <is>
          <t>https://www.coupang.com/np/search?q=행복드림 신동진 10kg</t>
        </is>
      </c>
      <c r="K4" s="6" t="inlineStr"/>
      <c r="L4" s="4" t="inlineStr">
        <is>
          <t>재고&gt;10·구매제한없음 확인 필수 | 판매상태:쿠팡 단품 미노출 — 검증실패 | 등급 보통 | 쿠팡 등재 36,460 리스팅을 폴센트·웹검색에서 특정 못함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I4" r:id="rId5"/>
    <hyperlink xmlns:r="http://schemas.openxmlformats.org/officeDocument/2006/relationships" ref="J4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4"/>
  <sheetViews>
    <sheetView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1">
      <c r="B1" s="11" t="inlineStr">
        <is>
          <t>쌀(수향미·브랜드쌀) 소싱 조사 — 방법·결론 (2026-07-10 KST)</t>
        </is>
      </c>
    </row>
    <row r="2">
      <c r="B2" s="12" t="inlineStr"/>
    </row>
    <row r="3">
      <c r="B3" s="13" t="inlineStr">
        <is>
          <t>방법</t>
        </is>
      </c>
    </row>
    <row r="4">
      <c r="B4" s="12" t="inlineStr">
        <is>
          <t>① 다나와에서 수향미·이천쌀(알찬미/해들미)·철원오대·신동진·고시히카리 28종 수집 ② 각 상품페이지에서 쿠팡 등재가+비쿠팡 국내최저 실조회 ③ 주요 후보는 에누리·네이버 최저가 교차확인(요청 반영) ④ 매입가=3소스 중 최저 ⑤ 마진=쿠팡가−매입가−쿠팡가×11.88%</t>
        </is>
      </c>
    </row>
    <row r="5">
      <c r="B5" s="13" t="inlineStr">
        <is>
          <t>신규 제외 규칙 (요청 반영)</t>
        </is>
      </c>
    </row>
    <row r="6">
      <c r="B6" s="12" t="inlineStr">
        <is>
          <t>· 잔여재고 ≤10개 소싱처 제외 · 1일 1개 등 구매제한 판매자 제외(쿠팡 2개 주문시 당일 발주 불가) — 단, 재고/구매제한은 옥션·G마켓·11번가가 봇을 차단해 자동확인 불가 → '매입전 필수확인' 열에 체크리스트로 명시, 매입 직전 판매자 페이지에서 직접 확인 필수.</t>
        </is>
      </c>
    </row>
    <row r="7">
      <c r="B7" s="13" t="inlineStr">
        <is>
          <t>쌀 카테고리 특이사항</t>
        </is>
      </c>
    </row>
    <row r="8">
      <c r="B8" s="12" t="inlineStr">
        <is>
          <t>· 도정일자 = 사실상 유통기한. 같은 pcode라도 판매처별 도정일이 다름 — 오래된 도정미 매입시 반품 폭탄. 매입 전 도정일 문의 필수.</t>
        </is>
      </c>
    </row>
    <row r="9">
      <c r="B9" s="12" t="inlineStr">
        <is>
          <t>· 구성 혼동 주의: 다나와 페이지 중 '10kg×2' 구성이 섞여 있음(진광미·포천해들·영광신동진). 쿠팡 매칭 시 단위 확인.</t>
        </is>
      </c>
    </row>
    <row r="10">
      <c r="B10" s="12" t="inlineStr">
        <is>
          <t>· 쿠팡 쌀은 로켓프레시 비중 높음 — 위너 배송형태 확인 필수.</t>
        </is>
      </c>
    </row>
    <row r="11">
      <c r="B11" s="13" t="inlineStr">
        <is>
          <t>결론</t>
        </is>
      </c>
    </row>
    <row r="12">
      <c r="B12" s="12" t="inlineStr">
        <is>
          <t>· 28종 중 마진 ≥10원 3종뿐, 실질 후보는 이천쌀 알찬미 특등급 10kg 1종(+2,197원, 4.8%). 쌀은 kg당 마진이 원래 얇은 박리다매 카테고리 + 농협/RPC가 전 채널 동시 공급이라 스프레드가 거의 없음.</t>
        </is>
      </c>
    </row>
    <row r="13">
      <c r="B13" s="12" t="inlineStr">
        <is>
          <t>· 수향미는 브랜드 인지도는 최고지만 판매처 812곳 초경쟁이라 쿠팡 등재가(41,600)가 비쿠팡최저(39,760)에 붙어 있어 역마진.</t>
        </is>
      </c>
    </row>
    <row r="14">
      <c r="B14" s="12" t="inlineStr">
        <is>
          <t>· 쌀로 수익 내려면 소매 차익거래가 아니라 산지 RPC/농협 직거래 계약(20kg 단위 도매)으로 원가를 낮추는 구조가 필요.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2026-07-10T10:01:50Z</dcterms:created>
  <dcterms:modified xsi:type="dcterms:W3CDTF">2026-07-10T10:01:50Z</dcterms:modified>
</cp:coreProperties>
</file>