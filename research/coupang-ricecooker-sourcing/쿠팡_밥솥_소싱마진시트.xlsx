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소싱마진_밥솥" sheetId="1" state="visible" r:id="rId1"/>
    <sheet name="오늘기준_마진후보" sheetId="2" state="visible" r:id="rId2"/>
    <sheet name="사용법_및_결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563C1"/>
      <sz val="9"/>
      <u val="single"/>
    </font>
    <font>
      <name val="맑은 고딕"/>
      <sz val="10"/>
    </font>
    <font>
      <name val="맑은 고딕"/>
      <b val="1"/>
      <color rgb="001F3864"/>
      <sz val="13"/>
    </font>
    <font>
      <name val="맑은 고딕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맑은 고딕"/>
        <b val="1"/>
        <color rgb="00006100"/>
      </font>
      <fill>
        <patternFill patternType="solid">
          <fgColor rgb="00C6EFCE"/>
        </patternFill>
      </fill>
    </dxf>
    <dxf>
      <font>
        <name val="맑은 고딕"/>
        <color rgb="009C0006"/>
      </font>
      <fill>
        <patternFill patternType="solid">
          <fgColor rgb="00FFC7CE"/>
        </patternFill>
      </fill>
    </dxf>
    <dxf>
      <font>
        <name val="맑은 고딕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d.danawa.com/info/?pcode=17107061" TargetMode="External" Id="rId1" /><Relationship Type="http://schemas.openxmlformats.org/officeDocument/2006/relationships/hyperlink" Target="https://www.coupang.com/vp/products/8605638836" TargetMode="External" Id="rId2" /><Relationship Type="http://schemas.openxmlformats.org/officeDocument/2006/relationships/hyperlink" Target="https://prod.danawa.com/info/?pcode=79453496" TargetMode="External" Id="rId3" /><Relationship Type="http://schemas.openxmlformats.org/officeDocument/2006/relationships/hyperlink" Target="https://www.coupang.com/vp/products/8700969099" TargetMode="External" Id="rId4" /><Relationship Type="http://schemas.openxmlformats.org/officeDocument/2006/relationships/hyperlink" Target="https://prod.danawa.com/info/?pcode=15742454" TargetMode="External" Id="rId5" /><Relationship Type="http://schemas.openxmlformats.org/officeDocument/2006/relationships/hyperlink" Target="https://www.coupang.com/np/search?q=KRC-1620" TargetMode="External" Id="rId6" /><Relationship Type="http://schemas.openxmlformats.org/officeDocument/2006/relationships/hyperlink" Target="https://prod.danawa.com/info/?pcode=14145179" TargetMode="External" Id="rId7" /><Relationship Type="http://schemas.openxmlformats.org/officeDocument/2006/relationships/hyperlink" Target="https://www.coupang.com/np/search?q=CRP-HUF10BS" TargetMode="External" Id="rId8" /><Relationship Type="http://schemas.openxmlformats.org/officeDocument/2006/relationships/hyperlink" Target="https://prod.danawa.com/info/?pcode=18864440" TargetMode="External" Id="rId9" /><Relationship Type="http://schemas.openxmlformats.org/officeDocument/2006/relationships/hyperlink" Target="https://www.coupang.com/np/search?q=CRE-D0401W" TargetMode="External" Id="rId10" /><Relationship Type="http://schemas.openxmlformats.org/officeDocument/2006/relationships/hyperlink" Target="https://prod.danawa.com/info/?pcode=74255075" TargetMode="External" Id="rId11" /><Relationship Type="http://schemas.openxmlformats.org/officeDocument/2006/relationships/hyperlink" Target="https://www.coupang.com/np/search?q=KRC-0623" TargetMode="External" Id="rId12" /><Relationship Type="http://schemas.openxmlformats.org/officeDocument/2006/relationships/hyperlink" Target="https://prod.danawa.com/info/?pcode=12162341" TargetMode="External" Id="rId13" /><Relationship Type="http://schemas.openxmlformats.org/officeDocument/2006/relationships/hyperlink" Target="https://www.coupang.com/np/search?q=TKC-550" TargetMode="External" Id="rId14" /><Relationship Type="http://schemas.openxmlformats.org/officeDocument/2006/relationships/hyperlink" Target="https://prod.danawa.com/info/?pcode=9574920" TargetMode="External" Id="rId15" /><Relationship Type="http://schemas.openxmlformats.org/officeDocument/2006/relationships/hyperlink" Target="https://www.coupang.com/np/search?q=CRP-P1055FD" TargetMode="External" Id="rId16" /><Relationship Type="http://schemas.openxmlformats.org/officeDocument/2006/relationships/hyperlink" Target="https://prod.danawa.com/info/?pcode=8119789" TargetMode="External" Id="rId17" /><Relationship Type="http://schemas.openxmlformats.org/officeDocument/2006/relationships/hyperlink" Target="https://www.coupang.com/np/search?q=CRP-P0660FD" TargetMode="External" Id="rId18" /><Relationship Type="http://schemas.openxmlformats.org/officeDocument/2006/relationships/hyperlink" Target="https://prod.danawa.com/info/?pcode=3859313" TargetMode="External" Id="rId19" /><Relationship Type="http://schemas.openxmlformats.org/officeDocument/2006/relationships/hyperlink" Target="https://www.coupang.com/np/search?q=CRP-AHXB1060FD" TargetMode="External" Id="rId20" /><Relationship Type="http://schemas.openxmlformats.org/officeDocument/2006/relationships/hyperlink" Target="https://prod.danawa.com/info/?pcode=13053368" TargetMode="External" Id="rId21" /><Relationship Type="http://schemas.openxmlformats.org/officeDocument/2006/relationships/hyperlink" Target="https://www.coupang.com/np/search?q=CRP-EHS0320FB" TargetMode="External" Id="rId22" /><Relationship Type="http://schemas.openxmlformats.org/officeDocument/2006/relationships/hyperlink" Target="https://prod.danawa.com/info/?pcode=9401703" TargetMode="External" Id="rId23" /><Relationship Type="http://schemas.openxmlformats.org/officeDocument/2006/relationships/hyperlink" Target="https://www.coupang.com/np/search?q=CRP-LHTR0610FW" TargetMode="External" Id="rId24" /><Relationship Type="http://schemas.openxmlformats.org/officeDocument/2006/relationships/hyperlink" Target="https://prod.danawa.com/info/?pcode=37093403" TargetMode="External" Id="rId25" /><Relationship Type="http://schemas.openxmlformats.org/officeDocument/2006/relationships/hyperlink" Target="https://www.coupang.com/np/search?q=CRS-FSWD0640W" TargetMode="External" Id="rId26" /><Relationship Type="http://schemas.openxmlformats.org/officeDocument/2006/relationships/hyperlink" Target="https://prod.danawa.com/info/?pcode=96314060" TargetMode="External" Id="rId27" /><Relationship Type="http://schemas.openxmlformats.org/officeDocument/2006/relationships/hyperlink" Target="https://www.coupang.com/np/search?q=CR-3015UG" TargetMode="External" Id="rId28" /><Relationship Type="http://schemas.openxmlformats.org/officeDocument/2006/relationships/hyperlink" Target="https://prod.danawa.com/info/?pcode=15434531" TargetMode="External" Id="rId29" /><Relationship Type="http://schemas.openxmlformats.org/officeDocument/2006/relationships/hyperlink" Target="https://www.coupang.com/np/search?q=CRP-EHB0310FW" TargetMode="External" Id="rId30" /><Relationship Type="http://schemas.openxmlformats.org/officeDocument/2006/relationships/hyperlink" Target="https://prod.danawa.com/info/?pcode=8377695" TargetMode="External" Id="rId31" /><Relationship Type="http://schemas.openxmlformats.org/officeDocument/2006/relationships/hyperlink" Target="https://www.coupang.com/np/search?q=CJE-CD0302" TargetMode="External" Id="rId32" /><Relationship Type="http://schemas.openxmlformats.org/officeDocument/2006/relationships/hyperlink" Target="https://prod.danawa.com/info/?pcode=10001310" TargetMode="External" Id="rId33" /><Relationship Type="http://schemas.openxmlformats.org/officeDocument/2006/relationships/hyperlink" Target="https://www.coupang.com/np/search?q=CR-3055B" TargetMode="External" Id="rId34" /><Relationship Type="http://schemas.openxmlformats.org/officeDocument/2006/relationships/hyperlink" Target="https://prod.danawa.com/info/?pcode=99740957" TargetMode="External" Id="rId35" /><Relationship Type="http://schemas.openxmlformats.org/officeDocument/2006/relationships/hyperlink" Target="https://www.coupang.com/np/search?q=CR-3015GG" TargetMode="External" Id="rId36" /><Relationship Type="http://schemas.openxmlformats.org/officeDocument/2006/relationships/hyperlink" Target="https://prod.danawa.com/info/?pcode=7280086" TargetMode="External" Id="rId37" /><Relationship Type="http://schemas.openxmlformats.org/officeDocument/2006/relationships/hyperlink" Target="https://www.coupang.com/np/search?q=CRP-CHP1010FD" TargetMode="External" Id="rId38" /><Relationship Type="http://schemas.openxmlformats.org/officeDocument/2006/relationships/hyperlink" Target="https://prod.danawa.com/info/?pcode=68300429" TargetMode="External" Id="rId39" /><Relationship Type="http://schemas.openxmlformats.org/officeDocument/2006/relationships/hyperlink" Target="https://www.coupang.com/np/search?q=CRP-R0615FBS" TargetMode="External" Id="rId40" /><Relationship Type="http://schemas.openxmlformats.org/officeDocument/2006/relationships/hyperlink" Target="https://prod.danawa.com/info/?pcode=106221236" TargetMode="External" Id="rId41" /><Relationship Type="http://schemas.openxmlformats.org/officeDocument/2006/relationships/hyperlink" Target="https://www.coupang.com/np/search?q=CRP-DHPNL0615FGW" TargetMode="External" Id="rId42" /><Relationship Type="http://schemas.openxmlformats.org/officeDocument/2006/relationships/hyperlink" Target="https://prod.danawa.com/info/?pcode=55469033" TargetMode="External" Id="rId43" /><Relationship Type="http://schemas.openxmlformats.org/officeDocument/2006/relationships/hyperlink" Target="https://www.coupang.com/np/search?q=CRP-DHAS069FWM" TargetMode="External" Id="rId44" /><Relationship Type="http://schemas.openxmlformats.org/officeDocument/2006/relationships/hyperlink" Target="https://prod.danawa.com/info/?pcode=8105740" TargetMode="External" Id="rId45" /><Relationship Type="http://schemas.openxmlformats.org/officeDocument/2006/relationships/hyperlink" Target="https://www.coupang.com/np/search?q=CRP-JHR0660FD" TargetMode="External" Id="rId46" /><Relationship Type="http://schemas.openxmlformats.org/officeDocument/2006/relationships/hyperlink" Target="https://prod.danawa.com/info/?pcode=18151859" TargetMode="External" Id="rId47" /><Relationship Type="http://schemas.openxmlformats.org/officeDocument/2006/relationships/hyperlink" Target="https://www.coupang.com/np/search?q=CRP-TT0310FGW" TargetMode="External" Id="rId48" /><Relationship Type="http://schemas.openxmlformats.org/officeDocument/2006/relationships/hyperlink" Target="https://prod.danawa.com/info/?pcode=65430104" TargetMode="External" Id="rId49" /><Relationship Type="http://schemas.openxmlformats.org/officeDocument/2006/relationships/hyperlink" Target="https://www.coupang.com/np/search?q=CRT-TWK0370W" TargetMode="External" Id="rId50" /><Relationship Type="http://schemas.openxmlformats.org/officeDocument/2006/relationships/hyperlink" Target="https://prod.danawa.com/info/?pcode=66049298" TargetMode="External" Id="rId51" /><Relationship Type="http://schemas.openxmlformats.org/officeDocument/2006/relationships/hyperlink" Target="https://www.coupang.com/np/search?q=CRT-TWK0370CY" TargetMode="External" Id="rId52" /><Relationship Type="http://schemas.openxmlformats.org/officeDocument/2006/relationships/hyperlink" Target="https://prod.danawa.com/info/?pcode=55468742" TargetMode="External" Id="rId53" /><Relationship Type="http://schemas.openxmlformats.org/officeDocument/2006/relationships/hyperlink" Target="https://www.coupang.com/np/search?q=CRP-CHAS109FWM" TargetMode="External" Id="rId54" /><Relationship Type="http://schemas.openxmlformats.org/officeDocument/2006/relationships/hyperlink" Target="https://prod.danawa.com/info/?pcode=17106941" TargetMode="External" Id="rId55" /><Relationship Type="http://schemas.openxmlformats.org/officeDocument/2006/relationships/hyperlink" Target="https://www.coupang.com/np/search?q=CRP-CHP1010FW" TargetMode="External" Id="rId56" /><Relationship Type="http://schemas.openxmlformats.org/officeDocument/2006/relationships/hyperlink" Target="https://prod.danawa.com/info/?pcode=39251639" TargetMode="External" Id="rId57" /><Relationship Type="http://schemas.openxmlformats.org/officeDocument/2006/relationships/hyperlink" Target="https://www.coupang.com/np/search?q=CRT-RPS0691BW" TargetMode="External" Id="rId58" /><Relationship Type="http://schemas.openxmlformats.org/officeDocument/2006/relationships/hyperlink" Target="https://prod.danawa.com/info/?pcode=39251456" TargetMode="External" Id="rId59" /><Relationship Type="http://schemas.openxmlformats.org/officeDocument/2006/relationships/hyperlink" Target="https://www.coupang.com/np/search?q=CRT-RPS0691W" TargetMode="External" Id="rId60" /><Relationship Type="http://schemas.openxmlformats.org/officeDocument/2006/relationships/hyperlink" Target="https://prod.danawa.com/info/?pcode=27474590" TargetMode="External" Id="rId61" /><Relationship Type="http://schemas.openxmlformats.org/officeDocument/2006/relationships/hyperlink" Target="https://www.coupang.com/np/search?q=CRH-TWS0610W" TargetMode="External" Id="rId62" /><Relationship Type="http://schemas.openxmlformats.org/officeDocument/2006/relationships/hyperlink" Target="https://prod.danawa.com/info/?pcode=78289781" TargetMode="External" Id="rId63" /><Relationship Type="http://schemas.openxmlformats.org/officeDocument/2006/relationships/hyperlink" Target="https://www.coupang.com/np/search?q=CRT-TWS0630W" TargetMode="External" Id="rId64" /><Relationship Type="http://schemas.openxmlformats.org/officeDocument/2006/relationships/hyperlink" Target="https://prod.danawa.com/info/?pcode=27473402" TargetMode="External" Id="rId65" /><Relationship Type="http://schemas.openxmlformats.org/officeDocument/2006/relationships/hyperlink" Target="https://www.coupang.com/np/search?q=CRH-TWS1010W" TargetMode="External" Id="rId66" /><Relationship Type="http://schemas.openxmlformats.org/officeDocument/2006/relationships/hyperlink" Target="https://prod.danawa.com/info/?pcode=8179273" TargetMode="External" Id="rId67" /><Relationship Type="http://schemas.openxmlformats.org/officeDocument/2006/relationships/hyperlink" Target="https://www.coupang.com/np/search?q=CRP-JHR1060FD" TargetMode="External" Id="rId68" /><Relationship Type="http://schemas.openxmlformats.org/officeDocument/2006/relationships/hyperlink" Target="https://prod.danawa.com/info/?pcode=20259848" TargetMode="External" Id="rId69" /><Relationship Type="http://schemas.openxmlformats.org/officeDocument/2006/relationships/hyperlink" Target="https://www.coupang.com/np/search?q=CRP-EHS0320FSM" TargetMode="External" Id="rId70" /><Relationship Type="http://schemas.openxmlformats.org/officeDocument/2006/relationships/hyperlink" Target="https://prod.danawa.com/info/?pcode=7286017" TargetMode="External" Id="rId71" /><Relationship Type="http://schemas.openxmlformats.org/officeDocument/2006/relationships/hyperlink" Target="https://www.coupang.com/np/search?q=CRP-DHP0610FD" TargetMode="External" Id="rId72" /><Relationship Type="http://schemas.openxmlformats.org/officeDocument/2006/relationships/hyperlink" Target="https://prod.danawa.com/info/?pcode=30006299" TargetMode="External" Id="rId73" /><Relationship Type="http://schemas.openxmlformats.org/officeDocument/2006/relationships/hyperlink" Target="https://www.coupang.com/np/search?q=CRH-TWS0610BW" TargetMode="External" Id="rId74" /><Relationship Type="http://schemas.openxmlformats.org/officeDocument/2006/relationships/hyperlink" Target="https://prod.danawa.com/info/?pcode=18698597" TargetMode="External" Id="rId75" /><Relationship Type="http://schemas.openxmlformats.org/officeDocument/2006/relationships/hyperlink" Target="https://www.coupang.com/np/search?q=CRP-LHTR1010FGWM" TargetMode="External" Id="rId76" /><Relationship Type="http://schemas.openxmlformats.org/officeDocument/2006/relationships/hyperlink" Target="https://prod.danawa.com/info/?pcode=66049352" TargetMode="External" Id="rId77" /><Relationship Type="http://schemas.openxmlformats.org/officeDocument/2006/relationships/hyperlink" Target="https://www.coupang.com/np/search?q=CRT-WS0340TW" TargetMode="External" Id="rId78" /><Relationship Type="http://schemas.openxmlformats.org/officeDocument/2006/relationships/hyperlink" Target="https://prod.danawa.com/info/?pcode=18764048" TargetMode="External" Id="rId79" /><Relationship Type="http://schemas.openxmlformats.org/officeDocument/2006/relationships/hyperlink" Target="https://www.coupang.com/np/search?q=CRP-LHTR1010FGIM" TargetMode="External" Id="rId80" /><Relationship Type="http://schemas.openxmlformats.org/officeDocument/2006/relationships/hyperlink" Target="https://prod.danawa.com/info/?pcode=18698651" TargetMode="External" Id="rId81" /><Relationship Type="http://schemas.openxmlformats.org/officeDocument/2006/relationships/hyperlink" Target="https://www.coupang.com/np/search?q=CRP-LHTR0610FGWM" TargetMode="External" Id="rId82" /><Relationship Type="http://schemas.openxmlformats.org/officeDocument/2006/relationships/hyperlink" Target="https://prod.danawa.com/info/?pcode=80150570" TargetMode="External" Id="rId83" /><Relationship Type="http://schemas.openxmlformats.org/officeDocument/2006/relationships/hyperlink" Target="https://www.coupang.com/np/search?q=CRP-JHPNL1010GPS" TargetMode="External" Id="rId84" /><Relationship Type="http://schemas.openxmlformats.org/officeDocument/2006/relationships/hyperlink" Target="https://prod.danawa.com/info/?pcode=122708165" TargetMode="External" Id="rId85" /><Relationship Type="http://schemas.openxmlformats.org/officeDocument/2006/relationships/hyperlink" Target="https://www.coupang.com/np/search?q=CRP-DHASNL0615FGW" TargetMode="External" Id="rId86" /><Relationship Type="http://schemas.openxmlformats.org/officeDocument/2006/relationships/hyperlink" Target="https://prod.danawa.com/info/?pcode=13480025" TargetMode="External" Id="rId87" /><Relationship Type="http://schemas.openxmlformats.org/officeDocument/2006/relationships/hyperlink" Target="https://www.coupang.com/np/search?q=CRP-MHTR0310FW" TargetMode="External" Id="rId88" /><Relationship Type="http://schemas.openxmlformats.org/officeDocument/2006/relationships/hyperlink" Target="https://prod.danawa.com/info/?pcode=7412134" TargetMode="External" Id="rId89" /><Relationship Type="http://schemas.openxmlformats.org/officeDocument/2006/relationships/hyperlink" Target="https://www.coupang.com/np/search?q=CRP-HQB0310FS" TargetMode="External" Id="rId90" /></Relationships>
</file>

<file path=xl/worksheets/_rels/sheet2.xml.rels><Relationships xmlns="http://schemas.openxmlformats.org/package/2006/relationships"><Relationship Type="http://schemas.openxmlformats.org/officeDocument/2006/relationships/hyperlink" Target="https://prod.danawa.com/info/?pcode=17107061" TargetMode="External" Id="rId1" /><Relationship Type="http://schemas.openxmlformats.org/officeDocument/2006/relationships/hyperlink" Target="https://www.coupang.com/vp/products/8605638836" TargetMode="External" Id="rId2" /><Relationship Type="http://schemas.openxmlformats.org/officeDocument/2006/relationships/hyperlink" Target="https://prod.danawa.com/info/?pcode=79453496" TargetMode="External" Id="rId3" /><Relationship Type="http://schemas.openxmlformats.org/officeDocument/2006/relationships/hyperlink" Target="https://www.coupang.com/vp/products/870096909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14" customWidth="1" min="4" max="4"/>
    <col width="26" customWidth="1" min="5" max="5"/>
    <col width="26" customWidth="1" min="6" max="6"/>
    <col width="13" customWidth="1" min="7" max="7"/>
    <col width="13" customWidth="1" min="8" max="8"/>
    <col width="8" customWidth="1" min="9" max="9"/>
    <col width="10" customWidth="1" min="10" max="10"/>
    <col width="11" customWidth="1" min="11" max="11"/>
    <col width="13" customWidth="1" min="12" max="12"/>
    <col width="16" customWidth="1" min="13" max="13"/>
    <col width="8" customWidth="1" min="14" max="14"/>
    <col width="11" customWidth="1" min="15" max="15"/>
    <col width="34" customWidth="1" min="16" max="16"/>
  </cols>
  <sheetData>
    <row r="1" ht="26" customHeight="1">
      <c r="A1" s="1" t="inlineStr">
        <is>
          <t>밥솥 쿠팡 아이템위너 소싱 — 기준일 2026-07-10(KST) | 쿠팡 판매가=다나와 등재 쿠팡가(실조회)+폴센트 실측 | 예상마진=쿠팡가−매입가−쿠팡가×11.88% | 품절·로켓·쿠팡최저는 후보 제외</t>
        </is>
      </c>
    </row>
    <row r="2" ht="30" customHeight="1">
      <c r="A2" s="2" t="inlineStr">
        <is>
          <t>브랜드</t>
        </is>
      </c>
      <c r="B2" s="2" t="inlineStr">
        <is>
          <t>키워드</t>
        </is>
      </c>
      <c r="C2" s="2" t="inlineStr">
        <is>
          <t>모델명</t>
        </is>
      </c>
      <c r="D2" s="2" t="inlineStr">
        <is>
          <t>다나와 매입가
(비쿠팡 국내최저)</t>
        </is>
      </c>
      <c r="E2" s="2" t="inlineStr">
        <is>
          <t>다나와 URL</t>
        </is>
      </c>
      <c r="F2" s="2" t="inlineStr">
        <is>
          <t>쿠팡 URL</t>
        </is>
      </c>
      <c r="G2" s="2" t="inlineStr">
        <is>
          <t>쿠팡 판매가
(다나와등재/실측)</t>
        </is>
      </c>
      <c r="H2" s="2" t="inlineStr">
        <is>
          <t>예상마진(원)
수수료11.88%</t>
        </is>
      </c>
      <c r="I2" s="2" t="inlineStr">
        <is>
          <t>마진율
(%)</t>
        </is>
      </c>
      <c r="J2" s="2" t="inlineStr">
        <is>
          <t>마진≥10원?</t>
        </is>
      </c>
      <c r="K2" s="2" t="inlineStr">
        <is>
          <t>손익분기
쿠팡가</t>
        </is>
      </c>
      <c r="L2" s="2" t="inlineStr">
        <is>
          <t>매입 판매처</t>
        </is>
      </c>
      <c r="M2" s="2" t="inlineStr">
        <is>
          <t>2위 매입처</t>
        </is>
      </c>
      <c r="N2" s="2" t="inlineStr">
        <is>
          <t>다나와
판매처수</t>
        </is>
      </c>
      <c r="O2" s="2" t="inlineStr">
        <is>
          <t>위너
배송추정</t>
        </is>
      </c>
      <c r="P2" s="2" t="inlineStr">
        <is>
          <t>비고/검증</t>
        </is>
      </c>
    </row>
    <row r="3" ht="26" customHeight="1">
      <c r="A3" s="3" t="inlineStr">
        <is>
          <t>쿠쿠</t>
        </is>
      </c>
      <c r="B3" s="3" t="inlineStr">
        <is>
          <t>6인용 밥솥 / 쿠쿠 밥솥</t>
        </is>
      </c>
      <c r="C3" s="4" t="inlineStr">
        <is>
          <t>CRP-DHP0610FW</t>
        </is>
      </c>
      <c r="D3" s="5" t="n">
        <v>210350</v>
      </c>
      <c r="E3" s="6" t="inlineStr">
        <is>
          <t>https://prod.danawa.com/info/?pcode=17107061</t>
        </is>
      </c>
      <c r="F3" s="6" t="inlineStr">
        <is>
          <t>https://www.coupang.com/vp/products/8605638836</t>
        </is>
      </c>
      <c r="G3" s="5" t="n">
        <v>263990</v>
      </c>
      <c r="H3" s="5">
        <f>IF(OR(G3="",D3=""),"",ROUND(G3-D3-G3*0.1188,0))</f>
        <v/>
      </c>
      <c r="I3" s="7">
        <f>IF(OR(G3="",G3=0),"",ROUND(H3/G3*100,1))</f>
        <v/>
      </c>
      <c r="J3" s="3">
        <f>IF(G3="","쿠팡가없음",IF(H3&gt;=10,"✅마진OK","❌미달"))</f>
        <v/>
      </c>
      <c r="K3" s="5" t="n">
        <v>238709</v>
      </c>
      <c r="L3" s="4" t="inlineStr">
        <is>
          <t>옥션</t>
        </is>
      </c>
      <c r="M3" s="4" t="inlineStr">
        <is>
          <t>G마켓=213800</t>
        </is>
      </c>
      <c r="N3" s="3" t="n">
        <v>329</v>
      </c>
      <c r="O3" s="3" t="inlineStr">
        <is>
          <t>일반추정</t>
        </is>
      </c>
      <c r="P3" s="4" t="inlineStr">
        <is>
          <t>판매중·판매자배송(폴센트 7/10 실측). 동일 모델·색상 확인</t>
        </is>
      </c>
    </row>
    <row r="4" ht="26" customHeight="1">
      <c r="A4" s="3" t="inlineStr">
        <is>
          <t>키친아트</t>
        </is>
      </c>
      <c r="B4" s="3" t="inlineStr">
        <is>
          <t>밥솥 / 키친아트 밥솥</t>
        </is>
      </c>
      <c r="C4" s="4" t="inlineStr">
        <is>
          <t>KRC-BS9906</t>
        </is>
      </c>
      <c r="D4" s="5" t="n">
        <v>24720</v>
      </c>
      <c r="E4" s="6" t="inlineStr">
        <is>
          <t>https://prod.danawa.com/info/?pcode=79453496</t>
        </is>
      </c>
      <c r="F4" s="6" t="inlineStr">
        <is>
          <t>https://www.coupang.com/vp/products/8700969099</t>
        </is>
      </c>
      <c r="G4" s="5" t="n">
        <v>28430</v>
      </c>
      <c r="H4" s="5">
        <f>IF(OR(G4="",D4=""),"",ROUND(G4-D4-G4*0.1188,0))</f>
        <v/>
      </c>
      <c r="I4" s="7">
        <f>IF(OR(G4="",G4=0),"",ROUND(H4/G4*100,1))</f>
        <v/>
      </c>
      <c r="J4" s="3">
        <f>IF(G4="","쿠팡가없음",IF(H4&gt;=10,"✅마진OK","❌미달"))</f>
        <v/>
      </c>
      <c r="K4" s="5" t="n">
        <v>28053</v>
      </c>
      <c r="L4" s="4" t="inlineStr">
        <is>
          <t>11번가</t>
        </is>
      </c>
      <c r="M4" s="4" t="inlineStr">
        <is>
          <t>G마켓=26920</t>
        </is>
      </c>
      <c r="N4" s="3" t="n">
        <v>89</v>
      </c>
      <c r="O4" s="3" t="inlineStr">
        <is>
          <t>일반추정</t>
        </is>
      </c>
      <c r="P4" s="4" t="inlineStr">
        <is>
          <t>판매중·판매자배송(폴센트 7/10 실측). 역대최저 27,300</t>
        </is>
      </c>
    </row>
    <row r="5" ht="26" customHeight="1">
      <c r="A5" s="3" t="inlineStr">
        <is>
          <t>키친아트</t>
        </is>
      </c>
      <c r="B5" s="3" t="inlineStr">
        <is>
          <t>밥솥 / 키친아트 밥솥</t>
        </is>
      </c>
      <c r="C5" s="4" t="inlineStr">
        <is>
          <t>KRC-1620</t>
        </is>
      </c>
      <c r="D5" s="5" t="n">
        <v>47110</v>
      </c>
      <c r="E5" s="6" t="inlineStr">
        <is>
          <t>https://prod.danawa.com/info/?pcode=15742454</t>
        </is>
      </c>
      <c r="F5" s="6" t="inlineStr">
        <is>
          <t>https://www.coupang.com/np/search?q=KRC-1620</t>
        </is>
      </c>
      <c r="G5" s="5" t="n">
        <v>52800</v>
      </c>
      <c r="H5" s="5">
        <f>IF(OR(G5="",D5=""),"",ROUND(G5-D5-G5*0.1188,0))</f>
        <v/>
      </c>
      <c r="I5" s="7">
        <f>IF(OR(G5="",G5=0),"",ROUND(H5/G5*100,1))</f>
        <v/>
      </c>
      <c r="J5" s="3">
        <f>IF(G5="","쿠팡가없음",IF(H5&gt;=10,"✅마진OK","❌미달"))</f>
        <v/>
      </c>
      <c r="K5" s="5" t="n">
        <v>53461</v>
      </c>
      <c r="L5" s="4" t="inlineStr">
        <is>
          <t>롯데ON</t>
        </is>
      </c>
      <c r="M5" s="4" t="inlineStr">
        <is>
          <t>옥션=47110</t>
        </is>
      </c>
      <c r="N5" s="3" t="n">
        <v>612</v>
      </c>
      <c r="O5" s="3" t="inlineStr">
        <is>
          <t>일반추정</t>
        </is>
      </c>
      <c r="P5" s="4" t="inlineStr"/>
    </row>
    <row r="6" ht="26" customHeight="1">
      <c r="A6" s="3" t="inlineStr">
        <is>
          <t>쿠쿠</t>
        </is>
      </c>
      <c r="B6" s="3" t="inlineStr">
        <is>
          <t>10인용 밥솥 / 쿠쿠 밥솥</t>
        </is>
      </c>
      <c r="C6" s="4" t="inlineStr">
        <is>
          <t>CRP-HUF10BS</t>
        </is>
      </c>
      <c r="D6" s="5" t="n">
        <v>176770</v>
      </c>
      <c r="E6" s="6" t="inlineStr">
        <is>
          <t>https://prod.danawa.com/info/?pcode=14145179</t>
        </is>
      </c>
      <c r="F6" s="6" t="inlineStr">
        <is>
          <t>https://www.coupang.com/np/search?q=CRP-HUF10BS</t>
        </is>
      </c>
      <c r="G6" s="5" t="n">
        <v>196000</v>
      </c>
      <c r="H6" s="5">
        <f>IF(OR(G6="",D6=""),"",ROUND(G6-D6-G6*0.1188,0))</f>
        <v/>
      </c>
      <c r="I6" s="7">
        <f>IF(OR(G6="",G6=0),"",ROUND(H6/G6*100,1))</f>
        <v/>
      </c>
      <c r="J6" s="3">
        <f>IF(G6="","쿠팡가없음",IF(H6&gt;=10,"✅마진OK","❌미달"))</f>
        <v/>
      </c>
      <c r="K6" s="5" t="n">
        <v>200601</v>
      </c>
      <c r="L6" s="4" t="inlineStr">
        <is>
          <t>11번가</t>
        </is>
      </c>
      <c r="M6" s="4" t="inlineStr">
        <is>
          <t>옥션=176780</t>
        </is>
      </c>
      <c r="N6" s="3" t="n">
        <v>514</v>
      </c>
      <c r="O6" s="3" t="inlineStr">
        <is>
          <t>일반추정</t>
        </is>
      </c>
      <c r="P6" s="4" t="inlineStr">
        <is>
          <t>쿠팡 배송비 3,000원 별도</t>
        </is>
      </c>
    </row>
    <row r="7" ht="26" customHeight="1">
      <c r="A7" s="3" t="inlineStr">
        <is>
          <t>쿠첸</t>
        </is>
      </c>
      <c r="B7" s="3" t="inlineStr">
        <is>
          <t>4인용 밥솥 / 쿠첸 밥솥</t>
        </is>
      </c>
      <c r="C7" s="4" t="inlineStr">
        <is>
          <t>CRE-D0401W</t>
        </is>
      </c>
      <c r="D7" s="5" t="n">
        <v>55000</v>
      </c>
      <c r="E7" s="6" t="inlineStr">
        <is>
          <t>https://prod.danawa.com/info/?pcode=18864440</t>
        </is>
      </c>
      <c r="F7" s="6" t="inlineStr">
        <is>
          <t>https://www.coupang.com/np/search?q=CRE-D0401W</t>
        </is>
      </c>
      <c r="G7" s="5" t="n">
        <v>55000</v>
      </c>
      <c r="H7" s="5">
        <f>IF(OR(G7="",D7=""),"",ROUND(G7-D7-G7*0.1188,0))</f>
        <v/>
      </c>
      <c r="I7" s="7">
        <f>IF(OR(G7="",G7=0),"",ROUND(H7/G7*100,1))</f>
        <v/>
      </c>
      <c r="J7" s="3">
        <f>IF(G7="","쿠팡가없음",IF(H7&gt;=10,"✅마진OK","❌미달"))</f>
        <v/>
      </c>
      <c r="K7" s="5" t="n">
        <v>62415</v>
      </c>
      <c r="L7" s="4" t="inlineStr">
        <is>
          <t>옥션</t>
        </is>
      </c>
      <c r="M7" s="4" t="inlineStr">
        <is>
          <t>G마켓=55000</t>
        </is>
      </c>
      <c r="N7" s="3" t="n">
        <v>101</v>
      </c>
      <c r="O7" s="3" t="inlineStr">
        <is>
          <t>일반추정</t>
        </is>
      </c>
      <c r="P7" s="4" t="inlineStr"/>
    </row>
    <row r="8" ht="26" customHeight="1">
      <c r="A8" s="3" t="inlineStr">
        <is>
          <t>키친아트</t>
        </is>
      </c>
      <c r="B8" s="3" t="inlineStr">
        <is>
          <t>밥솥 / 키친아트 밥솥</t>
        </is>
      </c>
      <c r="C8" s="4" t="inlineStr">
        <is>
          <t>KRC-0623</t>
        </is>
      </c>
      <c r="D8" s="5" t="n">
        <v>59890</v>
      </c>
      <c r="E8" s="6" t="inlineStr">
        <is>
          <t>https://prod.danawa.com/info/?pcode=74255075</t>
        </is>
      </c>
      <c r="F8" s="6" t="inlineStr">
        <is>
          <t>https://www.coupang.com/np/search?q=KRC-0623</t>
        </is>
      </c>
      <c r="G8" s="5" t="n">
        <v>59900</v>
      </c>
      <c r="H8" s="5">
        <f>IF(OR(G8="",D8=""),"",ROUND(G8-D8-G8*0.1188,0))</f>
        <v/>
      </c>
      <c r="I8" s="7">
        <f>IF(OR(G8="",G8=0),"",ROUND(H8/G8*100,1))</f>
        <v/>
      </c>
      <c r="J8" s="3">
        <f>IF(G8="","쿠팡가없음",IF(H8&gt;=10,"✅마진OK","❌미달"))</f>
        <v/>
      </c>
      <c r="K8" s="5" t="n">
        <v>67964</v>
      </c>
      <c r="L8" s="4" t="inlineStr">
        <is>
          <t>11번가</t>
        </is>
      </c>
      <c r="M8" s="4" t="inlineStr">
        <is>
          <t>옥션=65550</t>
        </is>
      </c>
      <c r="N8" s="3" t="n">
        <v>35</v>
      </c>
      <c r="O8" s="3" t="inlineStr">
        <is>
          <t>일반추정</t>
        </is>
      </c>
      <c r="P8" s="4" t="inlineStr"/>
    </row>
    <row r="9" ht="26" customHeight="1">
      <c r="A9" s="3" t="inlineStr">
        <is>
          <t>티케이케이</t>
        </is>
      </c>
      <c r="B9" s="3" t="inlineStr">
        <is>
          <t>1인용 밥솥 / 티케이케이 밥솥</t>
        </is>
      </c>
      <c r="C9" s="4" t="inlineStr">
        <is>
          <t>TKC-550</t>
        </is>
      </c>
      <c r="D9" s="5" t="n">
        <v>66910</v>
      </c>
      <c r="E9" s="6" t="inlineStr">
        <is>
          <t>https://prod.danawa.com/info/?pcode=12162341</t>
        </is>
      </c>
      <c r="F9" s="6" t="inlineStr">
        <is>
          <t>https://www.coupang.com/np/search?q=TKC-550</t>
        </is>
      </c>
      <c r="G9" s="5" t="n">
        <v>66910</v>
      </c>
      <c r="H9" s="5">
        <f>IF(OR(G9="",D9=""),"",ROUND(G9-D9-G9*0.1188,0))</f>
        <v/>
      </c>
      <c r="I9" s="7">
        <f>IF(OR(G9="",G9=0),"",ROUND(H9/G9*100,1))</f>
        <v/>
      </c>
      <c r="J9" s="3">
        <f>IF(G9="","쿠팡가없음",IF(H9&gt;=10,"✅마진OK","❌미달"))</f>
        <v/>
      </c>
      <c r="K9" s="5" t="n">
        <v>75931</v>
      </c>
      <c r="L9" s="4" t="inlineStr">
        <is>
          <t>옥션</t>
        </is>
      </c>
      <c r="M9" s="4" t="inlineStr">
        <is>
          <t>오늘의집=68000</t>
        </is>
      </c>
      <c r="N9" s="3" t="n">
        <v>7</v>
      </c>
      <c r="O9" s="3" t="inlineStr">
        <is>
          <t>일반추정</t>
        </is>
      </c>
      <c r="P9" s="4" t="inlineStr"/>
    </row>
    <row r="10" ht="26" customHeight="1">
      <c r="A10" s="3" t="inlineStr">
        <is>
          <t>쿠쿠</t>
        </is>
      </c>
      <c r="B10" s="3" t="inlineStr">
        <is>
          <t>10인용 밥솥 / 쿠쿠 밥솥</t>
        </is>
      </c>
      <c r="C10" s="4" t="inlineStr">
        <is>
          <t>CRP-P1055FD</t>
        </is>
      </c>
      <c r="D10" s="5" t="n">
        <v>151890</v>
      </c>
      <c r="E10" s="6" t="inlineStr">
        <is>
          <t>https://prod.danawa.com/info/?pcode=9574920</t>
        </is>
      </c>
      <c r="F10" s="6" t="inlineStr">
        <is>
          <t>https://www.coupang.com/np/search?q=CRP-P1055FD</t>
        </is>
      </c>
      <c r="G10" s="5" t="n">
        <v>161750</v>
      </c>
      <c r="H10" s="5">
        <f>IF(OR(G10="",D10=""),"",ROUND(G10-D10-G10*0.1188,0))</f>
        <v/>
      </c>
      <c r="I10" s="7">
        <f>IF(OR(G10="",G10=0),"",ROUND(H10/G10*100,1))</f>
        <v/>
      </c>
      <c r="J10" s="3">
        <f>IF(G10="","쿠팡가없음",IF(H10&gt;=10,"✅마진OK","❌미달"))</f>
        <v/>
      </c>
      <c r="K10" s="5" t="n">
        <v>172367</v>
      </c>
      <c r="L10" s="4" t="inlineStr">
        <is>
          <t>롯데ON</t>
        </is>
      </c>
      <c r="M10" s="4" t="inlineStr">
        <is>
          <t>G마켓=151930</t>
        </is>
      </c>
      <c r="N10" s="3" t="n">
        <v>383</v>
      </c>
      <c r="O10" s="3" t="inlineStr">
        <is>
          <t>일반추정</t>
        </is>
      </c>
      <c r="P10" s="4" t="inlineStr"/>
    </row>
    <row r="11" ht="26" customHeight="1">
      <c r="A11" s="3" t="inlineStr">
        <is>
          <t>쿠쿠</t>
        </is>
      </c>
      <c r="B11" s="3" t="inlineStr">
        <is>
          <t>6인용 밥솥 / 쿠쿠 밥솥</t>
        </is>
      </c>
      <c r="C11" s="4" t="inlineStr">
        <is>
          <t>CRP-P0660FD</t>
        </is>
      </c>
      <c r="D11" s="5" t="n">
        <v>157296</v>
      </c>
      <c r="E11" s="6" t="inlineStr">
        <is>
          <t>https://prod.danawa.com/info/?pcode=8119789</t>
        </is>
      </c>
      <c r="F11" s="6" t="inlineStr">
        <is>
          <t>https://www.coupang.com/np/search?q=CRP-P0660FD</t>
        </is>
      </c>
      <c r="G11" s="5" t="n">
        <v>167090</v>
      </c>
      <c r="H11" s="5">
        <f>IF(OR(G11="",D11=""),"",ROUND(G11-D11-G11*0.1188,0))</f>
        <v/>
      </c>
      <c r="I11" s="7">
        <f>IF(OR(G11="",G11=0),"",ROUND(H11/G11*100,1))</f>
        <v/>
      </c>
      <c r="J11" s="3">
        <f>IF(G11="","쿠팡가없음",IF(H11&gt;=10,"✅마진OK","❌미달"))</f>
        <v/>
      </c>
      <c r="K11" s="5" t="n">
        <v>178502</v>
      </c>
      <c r="L11" s="4" t="inlineStr">
        <is>
          <t>SSG.COM</t>
        </is>
      </c>
      <c r="M11" s="4" t="inlineStr">
        <is>
          <t>G마켓=157480</t>
        </is>
      </c>
      <c r="N11" s="3" t="n">
        <v>412</v>
      </c>
      <c r="O11" s="3" t="inlineStr">
        <is>
          <t>일반추정</t>
        </is>
      </c>
      <c r="P11" s="4" t="inlineStr"/>
    </row>
    <row r="12" ht="26" customHeight="1">
      <c r="A12" s="3" t="inlineStr">
        <is>
          <t>쿠쿠</t>
        </is>
      </c>
      <c r="B12" s="3" t="inlineStr">
        <is>
          <t>10인용 밥솥 / 쿠쿠 밥솥</t>
        </is>
      </c>
      <c r="C12" s="4" t="inlineStr">
        <is>
          <t>CRP-AHXB1060FD</t>
        </is>
      </c>
      <c r="D12" s="5" t="n">
        <v>220800</v>
      </c>
      <c r="E12" s="6" t="inlineStr">
        <is>
          <t>https://prod.danawa.com/info/?pcode=3859313</t>
        </is>
      </c>
      <c r="F12" s="6" t="inlineStr">
        <is>
          <t>https://www.coupang.com/np/search?q=CRP-AHXB1060FD</t>
        </is>
      </c>
      <c r="G12" s="5" t="n">
        <v>237500</v>
      </c>
      <c r="H12" s="5">
        <f>IF(OR(G12="",D12=""),"",ROUND(G12-D12-G12*0.1188,0))</f>
        <v/>
      </c>
      <c r="I12" s="7">
        <f>IF(OR(G12="",G12=0),"",ROUND(H12/G12*100,1))</f>
        <v/>
      </c>
      <c r="J12" s="3">
        <f>IF(G12="","쿠팡가없음",IF(H12&gt;=10,"✅마진OK","❌미달"))</f>
        <v/>
      </c>
      <c r="K12" s="5" t="n">
        <v>250567</v>
      </c>
      <c r="L12" s="4" t="inlineStr">
        <is>
          <t>롯데ON</t>
        </is>
      </c>
      <c r="M12" s="4" t="inlineStr">
        <is>
          <t>G마켓=222130</t>
        </is>
      </c>
      <c r="N12" s="3" t="n">
        <v>358</v>
      </c>
      <c r="O12" s="3" t="inlineStr">
        <is>
          <t>일반추정</t>
        </is>
      </c>
      <c r="P12" s="4" t="inlineStr"/>
    </row>
    <row r="13" ht="26" customHeight="1">
      <c r="A13" s="3" t="inlineStr">
        <is>
          <t>쿠쿠</t>
        </is>
      </c>
      <c r="B13" s="3" t="inlineStr">
        <is>
          <t>3인용 밥솥 / 쿠쿠 밥솥</t>
        </is>
      </c>
      <c r="C13" s="4" t="inlineStr">
        <is>
          <t>CRP-EHS0320FB</t>
        </is>
      </c>
      <c r="D13" s="5" t="n">
        <v>203350</v>
      </c>
      <c r="E13" s="6" t="inlineStr">
        <is>
          <t>https://prod.danawa.com/info/?pcode=13053368</t>
        </is>
      </c>
      <c r="F13" s="6" t="inlineStr">
        <is>
          <t>https://www.coupang.com/np/search?q=CRP-EHS0320FB</t>
        </is>
      </c>
      <c r="G13" s="5" t="n">
        <v>213800</v>
      </c>
      <c r="H13" s="5">
        <f>IF(OR(G13="",D13=""),"",ROUND(G13-D13-G13*0.1188,0))</f>
        <v/>
      </c>
      <c r="I13" s="7">
        <f>IF(OR(G13="",G13=0),"",ROUND(H13/G13*100,1))</f>
        <v/>
      </c>
      <c r="J13" s="3">
        <f>IF(G13="","쿠팡가없음",IF(H13&gt;=10,"✅마진OK","❌미달"))</f>
        <v/>
      </c>
      <c r="K13" s="5" t="n">
        <v>230765</v>
      </c>
      <c r="L13" s="4" t="inlineStr">
        <is>
          <t>또또와쇼핑</t>
        </is>
      </c>
      <c r="M13" s="4" t="inlineStr">
        <is>
          <t>11번가=203490</t>
        </is>
      </c>
      <c r="N13" s="3" t="n">
        <v>328</v>
      </c>
      <c r="O13" s="3" t="inlineStr">
        <is>
          <t>일반추정</t>
        </is>
      </c>
      <c r="P13" s="4" t="inlineStr"/>
    </row>
    <row r="14" ht="26" customHeight="1">
      <c r="A14" s="3" t="inlineStr">
        <is>
          <t>쿠쿠</t>
        </is>
      </c>
      <c r="B14" s="3" t="inlineStr">
        <is>
          <t>6인용 밥솥 / 쿠쿠 밥솥</t>
        </is>
      </c>
      <c r="C14" s="4" t="inlineStr">
        <is>
          <t>CRP-LHTR0610FW</t>
        </is>
      </c>
      <c r="D14" s="5" t="n">
        <v>298256</v>
      </c>
      <c r="E14" s="6" t="inlineStr">
        <is>
          <t>https://prod.danawa.com/info/?pcode=9401703</t>
        </is>
      </c>
      <c r="F14" s="6" t="inlineStr">
        <is>
          <t>https://www.coupang.com/np/search?q=CRP-LHTR0610FW</t>
        </is>
      </c>
      <c r="G14" s="5" t="n">
        <v>321500</v>
      </c>
      <c r="H14" s="5">
        <f>IF(OR(G14="",D14=""),"",ROUND(G14-D14-G14*0.1188,0))</f>
        <v/>
      </c>
      <c r="I14" s="7">
        <f>IF(OR(G14="",G14=0),"",ROUND(H14/G14*100,1))</f>
        <v/>
      </c>
      <c r="J14" s="3">
        <f>IF(G14="","쿠팡가없음",IF(H14&gt;=10,"✅마진OK","❌미달"))</f>
        <v/>
      </c>
      <c r="K14" s="5" t="n">
        <v>338466</v>
      </c>
      <c r="L14" s="4" t="inlineStr">
        <is>
          <t>SSG.COM</t>
        </is>
      </c>
      <c r="M14" s="4" t="inlineStr">
        <is>
          <t>옥션=301140</t>
        </is>
      </c>
      <c r="N14" s="3" t="n">
        <v>402</v>
      </c>
      <c r="O14" s="3" t="inlineStr">
        <is>
          <t>일반추정</t>
        </is>
      </c>
      <c r="P14" s="4" t="inlineStr"/>
    </row>
    <row r="15" ht="26" customHeight="1">
      <c r="A15" s="3" t="inlineStr">
        <is>
          <t>쿠첸</t>
        </is>
      </c>
      <c r="B15" s="3" t="inlineStr">
        <is>
          <t>6인용 밥솥 / 쿠첸 밥솥</t>
        </is>
      </c>
      <c r="C15" s="4" t="inlineStr">
        <is>
          <t>CRS-FSWD0640W</t>
        </is>
      </c>
      <c r="D15" s="5" t="n">
        <v>139000</v>
      </c>
      <c r="E15" s="6" t="inlineStr">
        <is>
          <t>https://prod.danawa.com/info/?pcode=37093403</t>
        </is>
      </c>
      <c r="F15" s="6" t="inlineStr">
        <is>
          <t>https://www.coupang.com/np/search?q=CRS-FSWD0640W</t>
        </is>
      </c>
      <c r="G15" s="5" t="n">
        <v>138900</v>
      </c>
      <c r="H15" s="5">
        <f>IF(OR(G15="",D15=""),"",ROUND(G15-D15-G15*0.1188,0))</f>
        <v/>
      </c>
      <c r="I15" s="7">
        <f>IF(OR(G15="",G15=0),"",ROUND(H15/G15*100,1))</f>
        <v/>
      </c>
      <c r="J15" s="3">
        <f>IF(G15="","쿠팡가없음",IF(H15&gt;=10,"✅마진OK","❌미달"))</f>
        <v/>
      </c>
      <c r="K15" s="5" t="n">
        <v>157739</v>
      </c>
      <c r="L15" s="4" t="inlineStr">
        <is>
          <t>G마켓</t>
        </is>
      </c>
      <c r="M15" s="4" t="inlineStr">
        <is>
          <t>옥션=139000</t>
        </is>
      </c>
      <c r="N15" s="3" t="n">
        <v>9</v>
      </c>
      <c r="O15" s="3" t="inlineStr">
        <is>
          <t>일반추정</t>
        </is>
      </c>
      <c r="P15" s="4" t="inlineStr">
        <is>
          <t>쿠팡이 최저</t>
        </is>
      </c>
    </row>
    <row r="16" ht="26" customHeight="1">
      <c r="A16" s="3" t="inlineStr">
        <is>
          <t>쿠쿠</t>
        </is>
      </c>
      <c r="B16" s="3" t="inlineStr">
        <is>
          <t>30인용 밥솥 / 쿠쿠 밥솥</t>
        </is>
      </c>
      <c r="C16" s="4" t="inlineStr">
        <is>
          <t>CR-3015UG</t>
        </is>
      </c>
      <c r="D16" s="5" t="n">
        <v>136990</v>
      </c>
      <c r="E16" s="6" t="inlineStr">
        <is>
          <t>https://prod.danawa.com/info/?pcode=96314060</t>
        </is>
      </c>
      <c r="F16" s="6" t="inlineStr">
        <is>
          <t>https://www.coupang.com/np/search?q=CR-3015UG</t>
        </is>
      </c>
      <c r="G16" s="5" t="n">
        <v>136500</v>
      </c>
      <c r="H16" s="5">
        <f>IF(OR(G16="",D16=""),"",ROUND(G16-D16-G16*0.1188,0))</f>
        <v/>
      </c>
      <c r="I16" s="7">
        <f>IF(OR(G16="",G16=0),"",ROUND(H16/G16*100,1))</f>
        <v/>
      </c>
      <c r="J16" s="3">
        <f>IF(G16="","쿠팡가없음",IF(H16&gt;=10,"✅마진OK","❌미달"))</f>
        <v/>
      </c>
      <c r="K16" s="5" t="n">
        <v>155458</v>
      </c>
      <c r="L16" s="4" t="inlineStr">
        <is>
          <t>11번가</t>
        </is>
      </c>
      <c r="M16" s="4" t="inlineStr">
        <is>
          <t>쿠쿠몰=139000</t>
        </is>
      </c>
      <c r="N16" s="3" t="n">
        <v>153</v>
      </c>
      <c r="O16" s="3" t="inlineStr">
        <is>
          <t>일반추정</t>
        </is>
      </c>
      <c r="P16" s="4" t="inlineStr">
        <is>
          <t>쿠팡이 최저</t>
        </is>
      </c>
    </row>
    <row r="17" ht="26" customHeight="1">
      <c r="A17" s="3" t="inlineStr">
        <is>
          <t>쿠쿠</t>
        </is>
      </c>
      <c r="B17" s="3" t="inlineStr">
        <is>
          <t>3인용 밥솥 / 쿠쿠 밥솥</t>
        </is>
      </c>
      <c r="C17" s="4" t="inlineStr">
        <is>
          <t>CRP-EHB0310FW</t>
        </is>
      </c>
      <c r="D17" s="5" t="n">
        <v>187290</v>
      </c>
      <c r="E17" s="6" t="inlineStr">
        <is>
          <t>https://prod.danawa.com/info/?pcode=15434531</t>
        </is>
      </c>
      <c r="F17" s="6" t="inlineStr">
        <is>
          <t>https://www.coupang.com/np/search?q=CRP-EHB0310FW</t>
        </is>
      </c>
      <c r="G17" s="5" t="n">
        <v>193120</v>
      </c>
      <c r="H17" s="5">
        <f>IF(OR(G17="",D17=""),"",ROUND(G17-D17-G17*0.1188,0))</f>
        <v/>
      </c>
      <c r="I17" s="7">
        <f>IF(OR(G17="",G17=0),"",ROUND(H17/G17*100,1))</f>
        <v/>
      </c>
      <c r="J17" s="3">
        <f>IF(G17="","쿠팡가없음",IF(H17&gt;=10,"✅마진OK","❌미달"))</f>
        <v/>
      </c>
      <c r="K17" s="5" t="n">
        <v>212540</v>
      </c>
      <c r="L17" s="4" t="inlineStr">
        <is>
          <t>11번가</t>
        </is>
      </c>
      <c r="M17" s="4" t="inlineStr">
        <is>
          <t>옥션=187300</t>
        </is>
      </c>
      <c r="N17" s="3" t="n">
        <v>380</v>
      </c>
      <c r="O17" s="3" t="inlineStr">
        <is>
          <t>일반추정</t>
        </is>
      </c>
      <c r="P17" s="4" t="inlineStr"/>
    </row>
    <row r="18" ht="26" customHeight="1">
      <c r="A18" s="3" t="inlineStr">
        <is>
          <t>쿠첸</t>
        </is>
      </c>
      <c r="B18" s="3" t="inlineStr">
        <is>
          <t>3인용 밥솥 / 쿠첸 밥솥</t>
        </is>
      </c>
      <c r="C18" s="4" t="inlineStr">
        <is>
          <t>CJE-CD0302</t>
        </is>
      </c>
      <c r="D18" s="5" t="n">
        <v>78010</v>
      </c>
      <c r="E18" s="6" t="inlineStr">
        <is>
          <t>https://prod.danawa.com/info/?pcode=8377695</t>
        </is>
      </c>
      <c r="F18" s="6" t="inlineStr">
        <is>
          <t>https://www.coupang.com/np/search?q=CJE-CD0302</t>
        </is>
      </c>
      <c r="G18" s="5" t="n">
        <v>69000</v>
      </c>
      <c r="H18" s="5">
        <f>IF(OR(G18="",D18=""),"",ROUND(G18-D18-G18*0.1188,0))</f>
        <v/>
      </c>
      <c r="I18" s="7">
        <f>IF(OR(G18="",G18=0),"",ROUND(H18/G18*100,1))</f>
        <v/>
      </c>
      <c r="J18" s="3">
        <f>IF(G18="","쿠팡가없음",IF(H18&gt;=10,"✅마진OK","❌미달"))</f>
        <v/>
      </c>
      <c r="K18" s="5" t="n">
        <v>88527</v>
      </c>
      <c r="L18" s="4" t="inlineStr">
        <is>
          <t>G마켓</t>
        </is>
      </c>
      <c r="M18" s="4" t="inlineStr">
        <is>
          <t>옥션=79000</t>
        </is>
      </c>
      <c r="N18" s="3" t="n">
        <v>153</v>
      </c>
      <c r="O18" s="3" t="inlineStr">
        <is>
          <t>🚀로켓표기</t>
        </is>
      </c>
      <c r="P18" s="4" t="inlineStr">
        <is>
          <t>쿠팡이 최저</t>
        </is>
      </c>
    </row>
    <row r="19" ht="26" customHeight="1">
      <c r="A19" s="3" t="inlineStr">
        <is>
          <t>쿠쿠</t>
        </is>
      </c>
      <c r="B19" s="3" t="inlineStr">
        <is>
          <t>30인용 밥솥 / 쿠쿠 밥솥</t>
        </is>
      </c>
      <c r="C19" s="4" t="inlineStr">
        <is>
          <t>CR-3055B</t>
        </is>
      </c>
      <c r="D19" s="5" t="n">
        <v>128918</v>
      </c>
      <c r="E19" s="6" t="inlineStr">
        <is>
          <t>https://prod.danawa.com/info/?pcode=10001310</t>
        </is>
      </c>
      <c r="F19" s="6" t="inlineStr">
        <is>
          <t>https://www.coupang.com/np/search?q=CR-3055B</t>
        </is>
      </c>
      <c r="G19" s="5" t="n">
        <v>126500</v>
      </c>
      <c r="H19" s="5">
        <f>IF(OR(G19="",D19=""),"",ROUND(G19-D19-G19*0.1188,0))</f>
        <v/>
      </c>
      <c r="I19" s="7">
        <f>IF(OR(G19="",G19=0),"",ROUND(H19/G19*100,1))</f>
        <v/>
      </c>
      <c r="J19" s="3">
        <f>IF(G19="","쿠팡가없음",IF(H19&gt;=10,"✅마진OK","❌미달"))</f>
        <v/>
      </c>
      <c r="K19" s="5" t="n">
        <v>146298</v>
      </c>
      <c r="L19" s="4" t="inlineStr">
        <is>
          <t>SSG.COM</t>
        </is>
      </c>
      <c r="M19" s="4" t="inlineStr">
        <is>
          <t>옥션=129180</t>
        </is>
      </c>
      <c r="N19" s="3" t="n">
        <v>448</v>
      </c>
      <c r="O19" s="3" t="inlineStr">
        <is>
          <t>일반추정</t>
        </is>
      </c>
      <c r="P19" s="4" t="inlineStr">
        <is>
          <t>쿠팡이 최저</t>
        </is>
      </c>
    </row>
    <row r="20" ht="26" customHeight="1">
      <c r="A20" s="3" t="inlineStr">
        <is>
          <t>쿠쿠</t>
        </is>
      </c>
      <c r="B20" s="3" t="inlineStr">
        <is>
          <t>30인용 밥솥 / 쿠쿠 밥솥</t>
        </is>
      </c>
      <c r="C20" s="4" t="inlineStr">
        <is>
          <t>CR-3015GG</t>
        </is>
      </c>
      <c r="D20" s="5" t="n">
        <v>138800</v>
      </c>
      <c r="E20" s="6" t="inlineStr">
        <is>
          <t>https://prod.danawa.com/info/?pcode=99740957</t>
        </is>
      </c>
      <c r="F20" s="6" t="inlineStr">
        <is>
          <t>https://www.coupang.com/np/search?q=CR-3015GG</t>
        </is>
      </c>
      <c r="G20" s="5" t="n">
        <v>134110</v>
      </c>
      <c r="H20" s="5">
        <f>IF(OR(G20="",D20=""),"",ROUND(G20-D20-G20*0.1188,0))</f>
        <v/>
      </c>
      <c r="I20" s="7">
        <f>IF(OR(G20="",G20=0),"",ROUND(H20/G20*100,1))</f>
        <v/>
      </c>
      <c r="J20" s="3">
        <f>IF(G20="","쿠팡가없음",IF(H20&gt;=10,"✅마진OK","❌미달"))</f>
        <v/>
      </c>
      <c r="K20" s="5" t="n">
        <v>157512</v>
      </c>
      <c r="L20" s="4" t="inlineStr">
        <is>
          <t>오늘의집</t>
        </is>
      </c>
      <c r="M20" s="4" t="inlineStr">
        <is>
          <t>롯데홈쇼핑=139500</t>
        </is>
      </c>
      <c r="N20" s="3" t="n">
        <v>92</v>
      </c>
      <c r="O20" s="3" t="inlineStr">
        <is>
          <t>일반추정</t>
        </is>
      </c>
      <c r="P20" s="4" t="inlineStr">
        <is>
          <t>쿠팡이 최저</t>
        </is>
      </c>
    </row>
    <row r="21" ht="26" customHeight="1">
      <c r="A21" s="3" t="inlineStr">
        <is>
          <t>쿠쿠</t>
        </is>
      </c>
      <c r="B21" s="3" t="inlineStr">
        <is>
          <t>10인용 밥솥 / 쿠쿠 밥솥</t>
        </is>
      </c>
      <c r="C21" s="4" t="inlineStr">
        <is>
          <t>CRP-CHP1010FD</t>
        </is>
      </c>
      <c r="D21" s="5" t="n">
        <v>249800</v>
      </c>
      <c r="E21" s="6" t="inlineStr">
        <is>
          <t>https://prod.danawa.com/info/?pcode=7280086</t>
        </is>
      </c>
      <c r="F21" s="6" t="inlineStr">
        <is>
          <t>https://www.coupang.com/np/search?q=CRP-CHP1010FD</t>
        </is>
      </c>
      <c r="G21" s="5" t="n">
        <v>260000</v>
      </c>
      <c r="H21" s="5">
        <f>IF(OR(G21="",D21=""),"",ROUND(G21-D21-G21*0.1188,0))</f>
        <v/>
      </c>
      <c r="I21" s="7">
        <f>IF(OR(G21="",G21=0),"",ROUND(H21/G21*100,1))</f>
        <v/>
      </c>
      <c r="J21" s="3">
        <f>IF(G21="","쿠팡가없음",IF(H21&gt;=10,"✅마진OK","❌미달"))</f>
        <v/>
      </c>
      <c r="K21" s="5" t="n">
        <v>283477</v>
      </c>
      <c r="L21" s="4" t="inlineStr">
        <is>
          <t>또또와쇼핑(네이버페이)</t>
        </is>
      </c>
      <c r="M21" s="4" t="inlineStr">
        <is>
          <t>옥션=250410</t>
        </is>
      </c>
      <c r="N21" s="3" t="n">
        <v>494</v>
      </c>
      <c r="O21" s="3" t="inlineStr">
        <is>
          <t>일반추정</t>
        </is>
      </c>
      <c r="P21" s="4" t="inlineStr"/>
    </row>
    <row r="22" ht="26" customHeight="1">
      <c r="A22" s="3" t="inlineStr">
        <is>
          <t>쿠쿠</t>
        </is>
      </c>
      <c r="B22" s="3" t="inlineStr">
        <is>
          <t>6인용 밥솥 / 쿠쿠 밥솥</t>
        </is>
      </c>
      <c r="C22" s="4" t="inlineStr">
        <is>
          <t>CRP-R0615FBS</t>
        </is>
      </c>
      <c r="D22" s="5" t="n">
        <v>177160</v>
      </c>
      <c r="E22" s="6" t="inlineStr">
        <is>
          <t>https://prod.danawa.com/info/?pcode=68300429</t>
        </is>
      </c>
      <c r="F22" s="6" t="inlineStr">
        <is>
          <t>https://www.coupang.com/np/search?q=CRP-R0615FBS</t>
        </is>
      </c>
      <c r="G22" s="5" t="n">
        <v>177160</v>
      </c>
      <c r="H22" s="5">
        <f>IF(OR(G22="",D22=""),"",ROUND(G22-D22-G22*0.1188,0))</f>
        <v/>
      </c>
      <c r="I22" s="7">
        <f>IF(OR(G22="",G22=0),"",ROUND(H22/G22*100,1))</f>
        <v/>
      </c>
      <c r="J22" s="3">
        <f>IF(G22="","쿠팡가없음",IF(H22&gt;=10,"✅마진OK","❌미달"))</f>
        <v/>
      </c>
      <c r="K22" s="5" t="n">
        <v>201044</v>
      </c>
      <c r="L22" s="4" t="inlineStr">
        <is>
          <t>롯데ON</t>
        </is>
      </c>
      <c r="M22" s="4" t="inlineStr">
        <is>
          <t>네이버=178810</t>
        </is>
      </c>
      <c r="N22" s="3" t="n">
        <v>324</v>
      </c>
      <c r="O22" s="3" t="inlineStr">
        <is>
          <t>일반추정</t>
        </is>
      </c>
      <c r="P22" s="4" t="inlineStr"/>
    </row>
    <row r="23" ht="26" customHeight="1">
      <c r="A23" s="3" t="inlineStr">
        <is>
          <t>쿠쿠</t>
        </is>
      </c>
      <c r="B23" s="3" t="inlineStr">
        <is>
          <t>6인용 밥솥 / 쿠쿠 밥솥</t>
        </is>
      </c>
      <c r="C23" s="4" t="inlineStr">
        <is>
          <t>CRP-DHPNL0615FGW</t>
        </is>
      </c>
      <c r="D23" s="5" t="n">
        <v>222570</v>
      </c>
      <c r="E23" s="6" t="inlineStr">
        <is>
          <t>https://prod.danawa.com/info/?pcode=106221236</t>
        </is>
      </c>
      <c r="F23" s="6" t="inlineStr">
        <is>
          <t>https://www.coupang.com/np/search?q=CRP-DHPNL0615FGW</t>
        </is>
      </c>
      <c r="G23" s="5" t="n">
        <v>227000</v>
      </c>
      <c r="H23" s="5">
        <f>IF(OR(G23="",D23=""),"",ROUND(G23-D23-G23*0.1188,0))</f>
        <v/>
      </c>
      <c r="I23" s="7">
        <f>IF(OR(G23="",G23=0),"",ROUND(H23/G23*100,1))</f>
        <v/>
      </c>
      <c r="J23" s="3">
        <f>IF(G23="","쿠팡가없음",IF(H23&gt;=10,"✅마진OK","❌미달"))</f>
        <v/>
      </c>
      <c r="K23" s="5" t="n">
        <v>252576</v>
      </c>
      <c r="L23" s="4" t="inlineStr">
        <is>
          <t>G마켓</t>
        </is>
      </c>
      <c r="M23" s="4" t="inlineStr">
        <is>
          <t>옥션=222670</t>
        </is>
      </c>
      <c r="N23" s="3" t="n">
        <v>223</v>
      </c>
      <c r="O23" s="3" t="inlineStr">
        <is>
          <t>일반추정</t>
        </is>
      </c>
      <c r="P23" s="4" t="inlineStr"/>
    </row>
    <row r="24" ht="26" customHeight="1">
      <c r="A24" s="3" t="inlineStr">
        <is>
          <t>쿠쿠</t>
        </is>
      </c>
      <c r="B24" s="3" t="inlineStr">
        <is>
          <t>6인용 밥솥 / 쿠쿠 밥솥</t>
        </is>
      </c>
      <c r="C24" s="4" t="inlineStr">
        <is>
          <t>CRP-DHAS069FWM</t>
        </is>
      </c>
      <c r="D24" s="5" t="n">
        <v>273780</v>
      </c>
      <c r="E24" s="6" t="inlineStr">
        <is>
          <t>https://prod.danawa.com/info/?pcode=55469033</t>
        </is>
      </c>
      <c r="F24" s="6" t="inlineStr">
        <is>
          <t>https://www.coupang.com/np/search?q=CRP-DHAS069FWM</t>
        </is>
      </c>
      <c r="G24" s="5" t="n">
        <v>285100</v>
      </c>
      <c r="H24" s="5">
        <f>IF(OR(G24="",D24=""),"",ROUND(G24-D24-G24*0.1188,0))</f>
        <v/>
      </c>
      <c r="I24" s="7">
        <f>IF(OR(G24="",G24=0),"",ROUND(H24/G24*100,1))</f>
        <v/>
      </c>
      <c r="J24" s="3">
        <f>IF(G24="","쿠팡가없음",IF(H24&gt;=10,"✅마진OK","❌미달"))</f>
        <v/>
      </c>
      <c r="K24" s="5" t="n">
        <v>310690</v>
      </c>
      <c r="L24" s="4" t="inlineStr">
        <is>
          <t>옥션</t>
        </is>
      </c>
      <c r="M24" s="4" t="inlineStr">
        <is>
          <t>가전할인마켓=276240</t>
        </is>
      </c>
      <c r="N24" s="3" t="n">
        <v>159</v>
      </c>
      <c r="O24" s="3" t="inlineStr">
        <is>
          <t>일반추정</t>
        </is>
      </c>
      <c r="P24" s="4" t="inlineStr"/>
    </row>
    <row r="25" ht="26" customHeight="1">
      <c r="A25" s="3" t="inlineStr">
        <is>
          <t>쿠쿠</t>
        </is>
      </c>
      <c r="B25" s="3" t="inlineStr">
        <is>
          <t>6인용 밥솥 / 쿠쿠 밥솥</t>
        </is>
      </c>
      <c r="C25" s="4" t="inlineStr">
        <is>
          <t>CRP-JHR0660FD</t>
        </is>
      </c>
      <c r="D25" s="5" t="n">
        <v>260960</v>
      </c>
      <c r="E25" s="6" t="inlineStr">
        <is>
          <t>https://prod.danawa.com/info/?pcode=8105740</t>
        </is>
      </c>
      <c r="F25" s="6" t="inlineStr">
        <is>
          <t>https://www.coupang.com/np/search?q=CRP-JHR0660FD</t>
        </is>
      </c>
      <c r="G25" s="5" t="n">
        <v>270000</v>
      </c>
      <c r="H25" s="5">
        <f>IF(OR(G25="",D25=""),"",ROUND(G25-D25-G25*0.1188,0))</f>
        <v/>
      </c>
      <c r="I25" s="7">
        <f>IF(OR(G25="",G25=0),"",ROUND(H25/G25*100,1))</f>
        <v/>
      </c>
      <c r="J25" s="3">
        <f>IF(G25="","쿠팡가없음",IF(H25&gt;=10,"✅마진OK","❌미달"))</f>
        <v/>
      </c>
      <c r="K25" s="5" t="n">
        <v>296142</v>
      </c>
      <c r="L25" s="4" t="inlineStr">
        <is>
          <t>옥션</t>
        </is>
      </c>
      <c r="M25" s="4" t="inlineStr">
        <is>
          <t>쿠쿠몰=265000</t>
        </is>
      </c>
      <c r="N25" s="3" t="n">
        <v>377</v>
      </c>
      <c r="O25" s="3" t="inlineStr">
        <is>
          <t>일반추정</t>
        </is>
      </c>
      <c r="P25" s="4" t="inlineStr"/>
    </row>
    <row r="26" ht="26" customHeight="1">
      <c r="A26" s="3" t="inlineStr">
        <is>
          <t>쿠쿠</t>
        </is>
      </c>
      <c r="B26" s="3" t="inlineStr">
        <is>
          <t>3인용 밥솥 / 쿠쿠 밥솥</t>
        </is>
      </c>
      <c r="C26" s="4" t="inlineStr">
        <is>
          <t>CRP-TT0310FGW</t>
        </is>
      </c>
      <c r="D26" s="5" t="n">
        <v>198070</v>
      </c>
      <c r="E26" s="6" t="inlineStr">
        <is>
          <t>https://prod.danawa.com/info/?pcode=18151859</t>
        </is>
      </c>
      <c r="F26" s="6" t="inlineStr">
        <is>
          <t>https://www.coupang.com/np/search?q=CRP-TT0310FGW</t>
        </is>
      </c>
      <c r="G26" s="5" t="n">
        <v>198070</v>
      </c>
      <c r="H26" s="5">
        <f>IF(OR(G26="",D26=""),"",ROUND(G26-D26-G26*0.1188,0))</f>
        <v/>
      </c>
      <c r="I26" s="7">
        <f>IF(OR(G26="",G26=0),"",ROUND(H26/G26*100,1))</f>
        <v/>
      </c>
      <c r="J26" s="3">
        <f>IF(G26="","쿠팡가없음",IF(H26&gt;=10,"✅마진OK","❌미달"))</f>
        <v/>
      </c>
      <c r="K26" s="5" t="n">
        <v>224773</v>
      </c>
      <c r="L26" s="4" t="inlineStr">
        <is>
          <t>롯데ON</t>
        </is>
      </c>
      <c r="M26" s="4" t="inlineStr">
        <is>
          <t>옥션=201200</t>
        </is>
      </c>
      <c r="N26" s="3" t="n">
        <v>362</v>
      </c>
      <c r="O26" s="3" t="inlineStr">
        <is>
          <t>일반추정</t>
        </is>
      </c>
      <c r="P26" s="4" t="inlineStr"/>
    </row>
    <row r="27" ht="26" customHeight="1">
      <c r="A27" s="3" t="inlineStr">
        <is>
          <t>쿠첸</t>
        </is>
      </c>
      <c r="B27" s="3" t="inlineStr">
        <is>
          <t>3인용 밥솥 / 쿠첸 밥솥</t>
        </is>
      </c>
      <c r="C27" s="4" t="inlineStr">
        <is>
          <t>CRT-TWK0370W</t>
        </is>
      </c>
      <c r="D27" s="5" t="n">
        <v>198990</v>
      </c>
      <c r="E27" s="6" t="inlineStr">
        <is>
          <t>https://prod.danawa.com/info/?pcode=65430104</t>
        </is>
      </c>
      <c r="F27" s="6" t="inlineStr">
        <is>
          <t>https://www.coupang.com/np/search?q=CRT-TWK0370W</t>
        </is>
      </c>
      <c r="G27" s="5" t="n">
        <v>198990</v>
      </c>
      <c r="H27" s="5">
        <f>IF(OR(G27="",D27=""),"",ROUND(G27-D27-G27*0.1188,0))</f>
        <v/>
      </c>
      <c r="I27" s="7">
        <f>IF(OR(G27="",G27=0),"",ROUND(H27/G27*100,1))</f>
        <v/>
      </c>
      <c r="J27" s="3">
        <f>IF(G27="","쿠팡가없음",IF(H27&gt;=10,"✅마진OK","❌미달"))</f>
        <v/>
      </c>
      <c r="K27" s="5" t="n">
        <v>225817</v>
      </c>
      <c r="L27" s="4" t="inlineStr">
        <is>
          <t>하이마트</t>
        </is>
      </c>
      <c r="M27" s="4" t="inlineStr">
        <is>
          <t>G마켓=199000</t>
        </is>
      </c>
      <c r="N27" s="3" t="n">
        <v>95</v>
      </c>
      <c r="O27" s="3" t="inlineStr">
        <is>
          <t>일반추정</t>
        </is>
      </c>
      <c r="P27" s="4" t="inlineStr"/>
    </row>
    <row r="28" ht="26" customHeight="1">
      <c r="A28" s="3" t="inlineStr">
        <is>
          <t>쿠첸</t>
        </is>
      </c>
      <c r="B28" s="3" t="inlineStr">
        <is>
          <t>3인용 밥솥 / 쿠첸 밥솥</t>
        </is>
      </c>
      <c r="C28" s="4" t="inlineStr">
        <is>
          <t>CRT-TWK0370CY</t>
        </is>
      </c>
      <c r="D28" s="5" t="n">
        <v>198990</v>
      </c>
      <c r="E28" s="6" t="inlineStr">
        <is>
          <t>https://prod.danawa.com/info/?pcode=66049298</t>
        </is>
      </c>
      <c r="F28" s="6" t="inlineStr">
        <is>
          <t>https://www.coupang.com/np/search?q=CRT-TWK0370CY</t>
        </is>
      </c>
      <c r="G28" s="5" t="n">
        <v>198990</v>
      </c>
      <c r="H28" s="5">
        <f>IF(OR(G28="",D28=""),"",ROUND(G28-D28-G28*0.1188,0))</f>
        <v/>
      </c>
      <c r="I28" s="7">
        <f>IF(OR(G28="",G28=0),"",ROUND(H28/G28*100,1))</f>
        <v/>
      </c>
      <c r="J28" s="3">
        <f>IF(G28="","쿠팡가없음",IF(H28&gt;=10,"✅마진OK","❌미달"))</f>
        <v/>
      </c>
      <c r="K28" s="5" t="n">
        <v>225817</v>
      </c>
      <c r="L28" s="4" t="inlineStr">
        <is>
          <t>하이마트</t>
        </is>
      </c>
      <c r="M28" s="4" t="inlineStr">
        <is>
          <t>오늘의집=213000</t>
        </is>
      </c>
      <c r="N28" s="3" t="n">
        <v>199</v>
      </c>
      <c r="O28" s="3" t="inlineStr">
        <is>
          <t>🚀로켓표기</t>
        </is>
      </c>
      <c r="P28" s="4" t="inlineStr"/>
    </row>
    <row r="29" ht="26" customHeight="1">
      <c r="A29" s="3" t="inlineStr">
        <is>
          <t>쿠쿠</t>
        </is>
      </c>
      <c r="B29" s="3" t="inlineStr">
        <is>
          <t>10인용 밥솥 / 쿠쿠 밥솥</t>
        </is>
      </c>
      <c r="C29" s="4" t="inlineStr">
        <is>
          <t>CRP-CHAS109FWM</t>
        </is>
      </c>
      <c r="D29" s="5" t="n">
        <v>290600</v>
      </c>
      <c r="E29" s="6" t="inlineStr">
        <is>
          <t>https://prod.danawa.com/info/?pcode=55468742</t>
        </is>
      </c>
      <c r="F29" s="6" t="inlineStr">
        <is>
          <t>https://www.coupang.com/np/search?q=CRP-CHAS109FWM</t>
        </is>
      </c>
      <c r="G29" s="5" t="n">
        <v>299000</v>
      </c>
      <c r="H29" s="5">
        <f>IF(OR(G29="",D29=""),"",ROUND(G29-D29-G29*0.1188,0))</f>
        <v/>
      </c>
      <c r="I29" s="7">
        <f>IF(OR(G29="",G29=0),"",ROUND(H29/G29*100,1))</f>
        <v/>
      </c>
      <c r="J29" s="3">
        <f>IF(G29="","쿠팡가없음",IF(H29&gt;=10,"✅마진OK","❌미달"))</f>
        <v/>
      </c>
      <c r="K29" s="5" t="n">
        <v>329778</v>
      </c>
      <c r="L29" s="4" t="inlineStr">
        <is>
          <t>가전할인마켓</t>
        </is>
      </c>
      <c r="M29" s="4" t="inlineStr">
        <is>
          <t>쿠쿠몰=300000</t>
        </is>
      </c>
      <c r="N29" s="3" t="n">
        <v>180</v>
      </c>
      <c r="O29" s="3" t="inlineStr">
        <is>
          <t>일반추정</t>
        </is>
      </c>
      <c r="P29" s="4" t="inlineStr"/>
    </row>
    <row r="30" ht="26" customHeight="1">
      <c r="A30" s="3" t="inlineStr">
        <is>
          <t>쿠쿠</t>
        </is>
      </c>
      <c r="B30" s="3" t="inlineStr">
        <is>
          <t>10인용 밥솥 / 쿠쿠 밥솥</t>
        </is>
      </c>
      <c r="C30" s="4" t="inlineStr">
        <is>
          <t>CRP-CHP1010FW</t>
        </is>
      </c>
      <c r="D30" s="5" t="n">
        <v>250410</v>
      </c>
      <c r="E30" s="6" t="inlineStr">
        <is>
          <t>https://prod.danawa.com/info/?pcode=17106941</t>
        </is>
      </c>
      <c r="F30" s="6" t="inlineStr">
        <is>
          <t>https://www.coupang.com/np/search?q=CRP-CHP1010FW</t>
        </is>
      </c>
      <c r="G30" s="5" t="n">
        <v>253000</v>
      </c>
      <c r="H30" s="5">
        <f>IF(OR(G30="",D30=""),"",ROUND(G30-D30-G30*0.1188,0))</f>
        <v/>
      </c>
      <c r="I30" s="7">
        <f>IF(OR(G30="",G30=0),"",ROUND(H30/G30*100,1))</f>
        <v/>
      </c>
      <c r="J30" s="3">
        <f>IF(G30="","쿠팡가없음",IF(H30&gt;=10,"✅마진OK","❌미달"))</f>
        <v/>
      </c>
      <c r="K30" s="5" t="n">
        <v>284169</v>
      </c>
      <c r="L30" s="4" t="inlineStr">
        <is>
          <t>옥션</t>
        </is>
      </c>
      <c r="M30" s="4" t="inlineStr">
        <is>
          <t>G마켓=250420</t>
        </is>
      </c>
      <c r="N30" s="3" t="n">
        <v>399</v>
      </c>
      <c r="O30" s="3" t="inlineStr">
        <is>
          <t>일반추정</t>
        </is>
      </c>
      <c r="P30" s="4" t="inlineStr"/>
    </row>
    <row r="31" ht="26" customHeight="1">
      <c r="A31" s="3" t="inlineStr">
        <is>
          <t>쿠첸</t>
        </is>
      </c>
      <c r="B31" s="3" t="inlineStr">
        <is>
          <t>6인용 밥솥 / 쿠첸 밥솥</t>
        </is>
      </c>
      <c r="C31" s="4" t="inlineStr">
        <is>
          <t>CRT-RPS0691BW</t>
        </is>
      </c>
      <c r="D31" s="5" t="n">
        <v>252830</v>
      </c>
      <c r="E31" s="6" t="inlineStr">
        <is>
          <t>https://prod.danawa.com/info/?pcode=39251639</t>
        </is>
      </c>
      <c r="F31" s="6" t="inlineStr">
        <is>
          <t>https://www.coupang.com/np/search?q=CRT-RPS0691BW</t>
        </is>
      </c>
      <c r="G31" s="5" t="n">
        <v>254830</v>
      </c>
      <c r="H31" s="5">
        <f>IF(OR(G31="",D31=""),"",ROUND(G31-D31-G31*0.1188,0))</f>
        <v/>
      </c>
      <c r="I31" s="7">
        <f>IF(OR(G31="",G31=0),"",ROUND(H31/G31*100,1))</f>
        <v/>
      </c>
      <c r="J31" s="3">
        <f>IF(G31="","쿠팡가없음",IF(H31&gt;=10,"✅마진OK","❌미달"))</f>
        <v/>
      </c>
      <c r="K31" s="5" t="n">
        <v>286916</v>
      </c>
      <c r="L31" s="4" t="inlineStr">
        <is>
          <t>신세계라이브쇼핑</t>
        </is>
      </c>
      <c r="M31" s="4" t="inlineStr">
        <is>
          <t>11번가=254830</t>
        </is>
      </c>
      <c r="N31" s="3" t="n">
        <v>130</v>
      </c>
      <c r="O31" s="3" t="inlineStr">
        <is>
          <t>🚀로켓표기</t>
        </is>
      </c>
      <c r="P31" s="4" t="inlineStr"/>
    </row>
    <row r="32" ht="26" customHeight="1">
      <c r="A32" s="3" t="inlineStr">
        <is>
          <t>쿠첸</t>
        </is>
      </c>
      <c r="B32" s="3" t="inlineStr">
        <is>
          <t>6인용 밥솥 / 쿠첸 밥솥</t>
        </is>
      </c>
      <c r="C32" s="4" t="inlineStr">
        <is>
          <t>CRT-RPS0691W</t>
        </is>
      </c>
      <c r="D32" s="5" t="n">
        <v>254920</v>
      </c>
      <c r="E32" s="6" t="inlineStr">
        <is>
          <t>https://prod.danawa.com/info/?pcode=39251456</t>
        </is>
      </c>
      <c r="F32" s="6" t="inlineStr">
        <is>
          <t>https://www.coupang.com/np/search?q=CRT-RPS0691W</t>
        </is>
      </c>
      <c r="G32" s="5" t="n">
        <v>254920</v>
      </c>
      <c r="H32" s="5">
        <f>IF(OR(G32="",D32=""),"",ROUND(G32-D32-G32*0.1188,0))</f>
        <v/>
      </c>
      <c r="I32" s="7">
        <f>IF(OR(G32="",G32=0),"",ROUND(H32/G32*100,1))</f>
        <v/>
      </c>
      <c r="J32" s="3">
        <f>IF(G32="","쿠팡가없음",IF(H32&gt;=10,"✅마진OK","❌미달"))</f>
        <v/>
      </c>
      <c r="K32" s="5" t="n">
        <v>289287</v>
      </c>
      <c r="L32" s="4" t="inlineStr">
        <is>
          <t>롯데ON</t>
        </is>
      </c>
      <c r="M32" s="4" t="inlineStr">
        <is>
          <t>옥션=269700</t>
        </is>
      </c>
      <c r="N32" s="3" t="n">
        <v>77</v>
      </c>
      <c r="O32" s="3" t="inlineStr">
        <is>
          <t>일반추정</t>
        </is>
      </c>
      <c r="P32" s="4" t="inlineStr"/>
    </row>
    <row r="33" ht="26" customHeight="1">
      <c r="A33" s="3" t="inlineStr">
        <is>
          <t>쿠첸</t>
        </is>
      </c>
      <c r="B33" s="3" t="inlineStr">
        <is>
          <t>6인용 밥솥 / 쿠첸 밥솥</t>
        </is>
      </c>
      <c r="C33" s="4" t="inlineStr">
        <is>
          <t>CRH-TWS0610W</t>
        </is>
      </c>
      <c r="D33" s="5" t="n">
        <v>239000</v>
      </c>
      <c r="E33" s="6" t="inlineStr">
        <is>
          <t>https://prod.danawa.com/info/?pcode=27474590</t>
        </is>
      </c>
      <c r="F33" s="6" t="inlineStr">
        <is>
          <t>https://www.coupang.com/np/search?q=CRH-TWS0610W</t>
        </is>
      </c>
      <c r="G33" s="5" t="n">
        <v>236000</v>
      </c>
      <c r="H33" s="5">
        <f>IF(OR(G33="",D33=""),"",ROUND(G33-D33-G33*0.1188,0))</f>
        <v/>
      </c>
      <c r="I33" s="7">
        <f>IF(OR(G33="",G33=0),"",ROUND(H33/G33*100,1))</f>
        <v/>
      </c>
      <c r="J33" s="3">
        <f>IF(G33="","쿠팡가없음",IF(H33&gt;=10,"✅마진OK","❌미달"))</f>
        <v/>
      </c>
      <c r="K33" s="5" t="n">
        <v>271221</v>
      </c>
      <c r="L33" s="4" t="inlineStr">
        <is>
          <t>CJ온스타일</t>
        </is>
      </c>
      <c r="M33" s="4" t="inlineStr">
        <is>
          <t>Market Electronics=243220</t>
        </is>
      </c>
      <c r="N33" s="3" t="n">
        <v>308</v>
      </c>
      <c r="O33" s="3" t="inlineStr">
        <is>
          <t>🚀로켓표기</t>
        </is>
      </c>
      <c r="P33" s="4" t="inlineStr"/>
    </row>
    <row r="34" ht="26" customHeight="1">
      <c r="A34" s="3" t="inlineStr">
        <is>
          <t>쿠첸</t>
        </is>
      </c>
      <c r="B34" s="3" t="inlineStr">
        <is>
          <t>6인용 밥솥 / 쿠첸 밥솥</t>
        </is>
      </c>
      <c r="C34" s="4" t="inlineStr">
        <is>
          <t>CRT-TWS0630W</t>
        </is>
      </c>
      <c r="D34" s="5" t="n">
        <v>255000</v>
      </c>
      <c r="E34" s="6" t="inlineStr">
        <is>
          <t>https://prod.danawa.com/info/?pcode=78289781</t>
        </is>
      </c>
      <c r="F34" s="6" t="inlineStr">
        <is>
          <t>https://www.coupang.com/np/search?q=CRT-TWS0630W</t>
        </is>
      </c>
      <c r="G34" s="5" t="n">
        <v>252000</v>
      </c>
      <c r="H34" s="5">
        <f>IF(OR(G34="",D34=""),"",ROUND(G34-D34-G34*0.1188,0))</f>
        <v/>
      </c>
      <c r="I34" s="7">
        <f>IF(OR(G34="",G34=0),"",ROUND(H34/G34*100,1))</f>
        <v/>
      </c>
      <c r="J34" s="3">
        <f>IF(G34="","쿠팡가없음",IF(H34&gt;=10,"✅마진OK","❌미달"))</f>
        <v/>
      </c>
      <c r="K34" s="5" t="n">
        <v>289378</v>
      </c>
      <c r="L34" s="4" t="inlineStr">
        <is>
          <t>11번가</t>
        </is>
      </c>
      <c r="M34" s="4" t="inlineStr">
        <is>
          <t>오늘의집=258950</t>
        </is>
      </c>
      <c r="N34" s="3" t="n">
        <v>179</v>
      </c>
      <c r="O34" s="3" t="inlineStr">
        <is>
          <t>일반추정</t>
        </is>
      </c>
      <c r="P34" s="4" t="inlineStr">
        <is>
          <t>쿠팡이 최저</t>
        </is>
      </c>
    </row>
    <row r="35" ht="26" customHeight="1">
      <c r="A35" s="3" t="inlineStr">
        <is>
          <t>쿠첸</t>
        </is>
      </c>
      <c r="B35" s="3" t="inlineStr">
        <is>
          <t>10인용 밥솥 / 쿠첸 밥솥</t>
        </is>
      </c>
      <c r="C35" s="4" t="inlineStr">
        <is>
          <t>CRH-TWS1010W</t>
        </is>
      </c>
      <c r="D35" s="5" t="n">
        <v>259000</v>
      </c>
      <c r="E35" s="6" t="inlineStr">
        <is>
          <t>https://prod.danawa.com/info/?pcode=27473402</t>
        </is>
      </c>
      <c r="F35" s="6" t="inlineStr">
        <is>
          <t>https://www.coupang.com/np/search?q=CRH-TWS1010W</t>
        </is>
      </c>
      <c r="G35" s="5" t="n">
        <v>256000</v>
      </c>
      <c r="H35" s="5">
        <f>IF(OR(G35="",D35=""),"",ROUND(G35-D35-G35*0.1188,0))</f>
        <v/>
      </c>
      <c r="I35" s="7">
        <f>IF(OR(G35="",G35=0),"",ROUND(H35/G35*100,1))</f>
        <v/>
      </c>
      <c r="J35" s="3">
        <f>IF(G35="","쿠팡가없음",IF(H35&gt;=10,"✅마진OK","❌미달"))</f>
        <v/>
      </c>
      <c r="K35" s="5" t="n">
        <v>293917</v>
      </c>
      <c r="L35" s="4" t="inlineStr">
        <is>
          <t>CJ온스타일</t>
        </is>
      </c>
      <c r="M35" s="4" t="inlineStr">
        <is>
          <t>G마켓=262220</t>
        </is>
      </c>
      <c r="N35" s="3" t="n">
        <v>147</v>
      </c>
      <c r="O35" s="3" t="inlineStr">
        <is>
          <t>🚀로켓표기</t>
        </is>
      </c>
      <c r="P35" s="4" t="inlineStr"/>
    </row>
    <row r="36" ht="26" customHeight="1">
      <c r="A36" s="3" t="inlineStr">
        <is>
          <t>쿠쿠</t>
        </is>
      </c>
      <c r="B36" s="3" t="inlineStr">
        <is>
          <t>10인용 밥솥 / 쿠쿠 밥솥</t>
        </is>
      </c>
      <c r="C36" s="4" t="inlineStr">
        <is>
          <t>CRP-JHR1060FD</t>
        </is>
      </c>
      <c r="D36" s="5" t="n">
        <v>289990</v>
      </c>
      <c r="E36" s="6" t="inlineStr">
        <is>
          <t>https://prod.danawa.com/info/?pcode=8179273</t>
        </is>
      </c>
      <c r="F36" s="6" t="inlineStr">
        <is>
          <t>https://www.coupang.com/np/search?q=CRP-JHR1060FD</t>
        </is>
      </c>
      <c r="G36" s="5" t="n">
        <v>290000</v>
      </c>
      <c r="H36" s="5">
        <f>IF(OR(G36="",D36=""),"",ROUND(G36-D36-G36*0.1188,0))</f>
        <v/>
      </c>
      <c r="I36" s="7">
        <f>IF(OR(G36="",G36=0),"",ROUND(H36/G36*100,1))</f>
        <v/>
      </c>
      <c r="J36" s="3">
        <f>IF(G36="","쿠팡가없음",IF(H36&gt;=10,"✅마진OK","❌미달"))</f>
        <v/>
      </c>
      <c r="K36" s="5" t="n">
        <v>329085</v>
      </c>
      <c r="L36" s="4" t="inlineStr">
        <is>
          <t>11번가</t>
        </is>
      </c>
      <c r="M36" s="4" t="inlineStr">
        <is>
          <t>쿠쿠몰=290000</t>
        </is>
      </c>
      <c r="N36" s="3" t="n">
        <v>371</v>
      </c>
      <c r="O36" s="3" t="inlineStr">
        <is>
          <t>일반추정</t>
        </is>
      </c>
      <c r="P36" s="4" t="inlineStr"/>
    </row>
    <row r="37" ht="26" customHeight="1">
      <c r="A37" s="3" t="inlineStr">
        <is>
          <t>쿠쿠</t>
        </is>
      </c>
      <c r="B37" s="3" t="inlineStr">
        <is>
          <t>3인용 밥솥 / 쿠쿠 밥솥</t>
        </is>
      </c>
      <c r="C37" s="4" t="inlineStr">
        <is>
          <t>CRP-EHS0320FSM</t>
        </is>
      </c>
      <c r="D37" s="5" t="n">
        <v>230370</v>
      </c>
      <c r="E37" s="6" t="inlineStr">
        <is>
          <t>https://prod.danawa.com/info/?pcode=20259848</t>
        </is>
      </c>
      <c r="F37" s="6" t="inlineStr">
        <is>
          <t>https://www.coupang.com/np/search?q=CRP-EHS0320FSM</t>
        </is>
      </c>
      <c r="G37" s="5" t="n">
        <v>219500</v>
      </c>
      <c r="H37" s="5">
        <f>IF(OR(G37="",D37=""),"",ROUND(G37-D37-G37*0.1188,0))</f>
        <v/>
      </c>
      <c r="I37" s="7">
        <f>IF(OR(G37="",G37=0),"",ROUND(H37/G37*100,1))</f>
        <v/>
      </c>
      <c r="J37" s="3">
        <f>IF(G37="","쿠팡가없음",IF(H37&gt;=10,"✅마진OK","❌미달"))</f>
        <v/>
      </c>
      <c r="K37" s="5" t="n">
        <v>261428</v>
      </c>
      <c r="L37" s="4" t="inlineStr">
        <is>
          <t>옥션</t>
        </is>
      </c>
      <c r="M37" s="4" t="inlineStr">
        <is>
          <t>롯데ON=232640</t>
        </is>
      </c>
      <c r="N37" s="3" t="n">
        <v>363</v>
      </c>
      <c r="O37" s="3" t="inlineStr">
        <is>
          <t>🚀로켓표기</t>
        </is>
      </c>
      <c r="P37" s="4" t="inlineStr"/>
    </row>
    <row r="38" ht="26" customHeight="1">
      <c r="A38" s="3" t="inlineStr">
        <is>
          <t>쿠쿠</t>
        </is>
      </c>
      <c r="B38" s="3" t="inlineStr">
        <is>
          <t>6인용 밥솥 / 쿠쿠 밥솥</t>
        </is>
      </c>
      <c r="C38" s="4" t="inlineStr">
        <is>
          <t>CRP-DHP0610FD</t>
        </is>
      </c>
      <c r="D38" s="5" t="n">
        <v>227730</v>
      </c>
      <c r="E38" s="6" t="inlineStr">
        <is>
          <t>https://prod.danawa.com/info/?pcode=7286017</t>
        </is>
      </c>
      <c r="F38" s="6" t="inlineStr">
        <is>
          <t>https://www.coupang.com/np/search?q=CRP-DHP0610FD</t>
        </is>
      </c>
      <c r="G38" s="5" t="n">
        <v>216390</v>
      </c>
      <c r="H38" s="5">
        <f>IF(OR(G38="",D38=""),"",ROUND(G38-D38-G38*0.1188,0))</f>
        <v/>
      </c>
      <c r="I38" s="7">
        <f>IF(OR(G38="",G38=0),"",ROUND(H38/G38*100,1))</f>
        <v/>
      </c>
      <c r="J38" s="3">
        <f>IF(G38="","쿠팡가없음",IF(H38&gt;=10,"✅마진OK","❌미달"))</f>
        <v/>
      </c>
      <c r="K38" s="5" t="n">
        <v>258432</v>
      </c>
      <c r="L38" s="4" t="inlineStr">
        <is>
          <t>네이버(또또와쇼핑)</t>
        </is>
      </c>
      <c r="M38" s="4" t="inlineStr">
        <is>
          <t>옥션=229790</t>
        </is>
      </c>
      <c r="N38" s="3" t="n">
        <v>394</v>
      </c>
      <c r="O38" s="3" t="inlineStr">
        <is>
          <t>일반추정</t>
        </is>
      </c>
      <c r="P38" s="4" t="inlineStr">
        <is>
          <t>쿠팡이 최저</t>
        </is>
      </c>
    </row>
    <row r="39" ht="26" customHeight="1">
      <c r="A39" s="3" t="inlineStr">
        <is>
          <t>쿠첸</t>
        </is>
      </c>
      <c r="B39" s="3" t="inlineStr">
        <is>
          <t>6인용 밥솥 / 쿠첸 밥솥</t>
        </is>
      </c>
      <c r="C39" s="4" t="inlineStr">
        <is>
          <t>CRH-TWS0610BW</t>
        </is>
      </c>
      <c r="D39" s="5" t="n">
        <v>239960</v>
      </c>
      <c r="E39" s="6" t="inlineStr">
        <is>
          <t>https://prod.danawa.com/info/?pcode=30006299</t>
        </is>
      </c>
      <c r="F39" s="6" t="inlineStr">
        <is>
          <t>https://www.coupang.com/np/search?q=CRH-TWS0610BW</t>
        </is>
      </c>
      <c r="G39" s="5" t="n">
        <v>229000</v>
      </c>
      <c r="H39" s="5">
        <f>IF(OR(G39="",D39=""),"",ROUND(G39-D39-G39*0.1188,0))</f>
        <v/>
      </c>
      <c r="I39" s="7">
        <f>IF(OR(G39="",G39=0),"",ROUND(H39/G39*100,1))</f>
        <v/>
      </c>
      <c r="J39" s="3">
        <f>IF(G39="","쿠팡가없음",IF(H39&gt;=10,"✅마진OK","❌미달"))</f>
        <v/>
      </c>
      <c r="K39" s="5" t="n">
        <v>272310</v>
      </c>
      <c r="L39" s="4" t="inlineStr">
        <is>
          <t>G마켓</t>
        </is>
      </c>
      <c r="M39" s="4" t="inlineStr">
        <is>
          <t>오늘의집=249000</t>
        </is>
      </c>
      <c r="N39" s="3" t="n">
        <v>136</v>
      </c>
      <c r="O39" s="3" t="inlineStr">
        <is>
          <t>일반추정</t>
        </is>
      </c>
      <c r="P39" s="4" t="inlineStr">
        <is>
          <t>쿠팡이 최저</t>
        </is>
      </c>
    </row>
    <row r="40" ht="26" customHeight="1">
      <c r="A40" s="3" t="inlineStr">
        <is>
          <t>쿠쿠</t>
        </is>
      </c>
      <c r="B40" s="3" t="inlineStr">
        <is>
          <t>10인용 밥솥 / 쿠쿠 밥솥</t>
        </is>
      </c>
      <c r="C40" s="4" t="inlineStr">
        <is>
          <t>CRP-LHTR1010FGWM</t>
        </is>
      </c>
      <c r="D40" s="5" t="n">
        <v>397790</v>
      </c>
      <c r="E40" s="6" t="inlineStr">
        <is>
          <t>https://prod.danawa.com/info/?pcode=18698597</t>
        </is>
      </c>
      <c r="F40" s="6" t="inlineStr">
        <is>
          <t>https://www.coupang.com/np/search?q=CRP-LHTR1010FGWM</t>
        </is>
      </c>
      <c r="G40" s="5" t="n">
        <v>397800</v>
      </c>
      <c r="H40" s="5">
        <f>IF(OR(G40="",D40=""),"",ROUND(G40-D40-G40*0.1188,0))</f>
        <v/>
      </c>
      <c r="I40" s="7">
        <f>IF(OR(G40="",G40=0),"",ROUND(H40/G40*100,1))</f>
        <v/>
      </c>
      <c r="J40" s="3">
        <f>IF(G40="","쿠팡가없음",IF(H40&gt;=10,"✅마진OK","❌미달"))</f>
        <v/>
      </c>
      <c r="K40" s="5" t="n">
        <v>451419</v>
      </c>
      <c r="L40" s="4" t="inlineStr">
        <is>
          <t>11번가</t>
        </is>
      </c>
      <c r="M40" s="4" t="inlineStr">
        <is>
          <t>쿠쿠몰=400000</t>
        </is>
      </c>
      <c r="N40" s="3" t="n">
        <v>304</v>
      </c>
      <c r="O40" s="3" t="inlineStr">
        <is>
          <t>일반추정</t>
        </is>
      </c>
      <c r="P40" s="4" t="inlineStr"/>
    </row>
    <row r="41" ht="26" customHeight="1">
      <c r="A41" s="3" t="inlineStr">
        <is>
          <t>쿠첸</t>
        </is>
      </c>
      <c r="B41" s="3" t="inlineStr">
        <is>
          <t>3인용 밥솥 / 쿠첸 밥솥</t>
        </is>
      </c>
      <c r="C41" s="4" t="inlineStr">
        <is>
          <t>CRT-WS0340TW</t>
        </is>
      </c>
      <c r="D41" s="5" t="n">
        <v>241450</v>
      </c>
      <c r="E41" s="6" t="inlineStr">
        <is>
          <t>https://prod.danawa.com/info/?pcode=66049352</t>
        </is>
      </c>
      <c r="F41" s="6" t="inlineStr">
        <is>
          <t>https://www.coupang.com/np/search?q=CRT-WS0340TW</t>
        </is>
      </c>
      <c r="G41" s="5" t="n">
        <v>217000</v>
      </c>
      <c r="H41" s="5">
        <f>IF(OR(G41="",D41=""),"",ROUND(G41-D41-G41*0.1188,0))</f>
        <v/>
      </c>
      <c r="I41" s="7">
        <f>IF(OR(G41="",G41=0),"",ROUND(H41/G41*100,1))</f>
        <v/>
      </c>
      <c r="J41" s="3">
        <f>IF(G41="","쿠팡가없음",IF(H41&gt;=10,"✅마진OK","❌미달"))</f>
        <v/>
      </c>
      <c r="K41" s="5" t="n">
        <v>274001</v>
      </c>
      <c r="L41" s="4" t="inlineStr">
        <is>
          <t>네이버페이</t>
        </is>
      </c>
      <c r="M41" s="4" t="inlineStr">
        <is>
          <t>옥션=319680</t>
        </is>
      </c>
      <c r="N41" s="3" t="n">
        <v>12</v>
      </c>
      <c r="O41" s="3" t="inlineStr">
        <is>
          <t>일반추정</t>
        </is>
      </c>
      <c r="P41" s="4" t="inlineStr">
        <is>
          <t>쿠팡이 최저</t>
        </is>
      </c>
    </row>
    <row r="42" ht="26" customHeight="1">
      <c r="A42" s="3" t="inlineStr">
        <is>
          <t>쿠쿠</t>
        </is>
      </c>
      <c r="B42" s="3" t="inlineStr">
        <is>
          <t>10인용 밥솥 / 쿠쿠 밥솥</t>
        </is>
      </c>
      <c r="C42" s="4" t="inlineStr">
        <is>
          <t>CRP-LHTR1010FGIM</t>
        </is>
      </c>
      <c r="D42" s="5" t="n">
        <v>400000</v>
      </c>
      <c r="E42" s="6" t="inlineStr">
        <is>
          <t>https://prod.danawa.com/info/?pcode=18764048</t>
        </is>
      </c>
      <c r="F42" s="6" t="inlineStr">
        <is>
          <t>https://www.coupang.com/np/search?q=CRP-LHTR1010FGIM</t>
        </is>
      </c>
      <c r="G42" s="5" t="n">
        <v>387940</v>
      </c>
      <c r="H42" s="5">
        <f>IF(OR(G42="",D42=""),"",ROUND(G42-D42-G42*0.1188,0))</f>
        <v/>
      </c>
      <c r="I42" s="7">
        <f>IF(OR(G42="",G42=0),"",ROUND(H42/G42*100,1))</f>
        <v/>
      </c>
      <c r="J42" s="3">
        <f>IF(G42="","쿠팡가없음",IF(H42&gt;=10,"✅마진OK","❌미달"))</f>
        <v/>
      </c>
      <c r="K42" s="5" t="n">
        <v>453926</v>
      </c>
      <c r="L42" s="4" t="inlineStr">
        <is>
          <t>쿠쿠몰</t>
        </is>
      </c>
      <c r="M42" s="4" t="inlineStr">
        <is>
          <t>11번가=416860</t>
        </is>
      </c>
      <c r="N42" s="3" t="n">
        <v>258</v>
      </c>
      <c r="O42" s="3" t="inlineStr">
        <is>
          <t>🚀로켓표기</t>
        </is>
      </c>
      <c r="P42" s="4" t="inlineStr"/>
    </row>
    <row r="43" ht="26" customHeight="1">
      <c r="A43" s="3" t="inlineStr">
        <is>
          <t>쿠쿠</t>
        </is>
      </c>
      <c r="B43" s="3" t="inlineStr">
        <is>
          <t>6인용 밥솥 / 쿠쿠 밥솥</t>
        </is>
      </c>
      <c r="C43" s="4" t="inlineStr">
        <is>
          <t>CRP-LHTR0610FGWM</t>
        </is>
      </c>
      <c r="D43" s="5" t="n">
        <v>350000</v>
      </c>
      <c r="E43" s="6" t="inlineStr">
        <is>
          <t>https://prod.danawa.com/info/?pcode=18698651</t>
        </is>
      </c>
      <c r="F43" s="6" t="inlineStr">
        <is>
          <t>https://www.coupang.com/np/search?q=CRP-LHTR0610FGWM</t>
        </is>
      </c>
      <c r="G43" s="5" t="n">
        <v>329220</v>
      </c>
      <c r="H43" s="5">
        <f>IF(OR(G43="",D43=""),"",ROUND(G43-D43-G43*0.1188,0))</f>
        <v/>
      </c>
      <c r="I43" s="7">
        <f>IF(OR(G43="",G43=0),"",ROUND(H43/G43*100,1))</f>
        <v/>
      </c>
      <c r="J43" s="3">
        <f>IF(G43="","쿠팡가없음",IF(H43&gt;=10,"✅마진OK","❌미달"))</f>
        <v/>
      </c>
      <c r="K43" s="5" t="n">
        <v>397186</v>
      </c>
      <c r="L43" s="4" t="inlineStr">
        <is>
          <t>쿠쿠몰</t>
        </is>
      </c>
      <c r="M43" s="4" t="inlineStr">
        <is>
          <t>SSG=358487</t>
        </is>
      </c>
      <c r="N43" s="3" t="n">
        <v>264</v>
      </c>
      <c r="O43" s="3" t="inlineStr">
        <is>
          <t>일반추정</t>
        </is>
      </c>
      <c r="P43" s="4" t="inlineStr">
        <is>
          <t>쿠팡이 최저</t>
        </is>
      </c>
    </row>
    <row r="44" ht="26" customHeight="1">
      <c r="A44" s="3" t="inlineStr">
        <is>
          <t>쿠쿠</t>
        </is>
      </c>
      <c r="B44" s="3" t="inlineStr">
        <is>
          <t>10인용 밥솥 / 쿠쿠 밥솥</t>
        </is>
      </c>
      <c r="C44" s="4" t="inlineStr">
        <is>
          <t>CRP-JHPNL1010GPS</t>
        </is>
      </c>
      <c r="D44" s="5" t="n">
        <v>277440</v>
      </c>
      <c r="E44" s="6" t="inlineStr">
        <is>
          <t>https://prod.danawa.com/info/?pcode=80150570</t>
        </is>
      </c>
      <c r="F44" s="6" t="inlineStr">
        <is>
          <t>https://www.coupang.com/np/search?q=CRP-JHPNL1010GPS</t>
        </is>
      </c>
      <c r="G44" s="5" t="n"/>
      <c r="H44" s="5">
        <f>IF(OR(G44="",D44=""),"",ROUND(G44-D44-G44*0.1188,0))</f>
        <v/>
      </c>
      <c r="I44" s="7">
        <f>IF(OR(G44="",G44=0),"",ROUND(H44/G44*100,1))</f>
        <v/>
      </c>
      <c r="J44" s="3">
        <f>IF(G44="","쿠팡가없음",IF(H44&gt;=10,"✅마진OK","❌미달"))</f>
        <v/>
      </c>
      <c r="K44" s="5" t="n">
        <v>314843</v>
      </c>
      <c r="L44" s="4" t="inlineStr">
        <is>
          <t>옥션</t>
        </is>
      </c>
      <c r="M44" s="4" t="inlineStr">
        <is>
          <t>G마켓=281690</t>
        </is>
      </c>
      <c r="N44" s="3" t="n">
        <v>150</v>
      </c>
      <c r="O44" s="3" t="inlineStr">
        <is>
          <t>미등재</t>
        </is>
      </c>
      <c r="P44" s="4" t="inlineStr">
        <is>
          <t>쿠팡 미등재</t>
        </is>
      </c>
    </row>
    <row r="45" ht="26" customHeight="1">
      <c r="A45" s="3" t="inlineStr">
        <is>
          <t>쿠쿠</t>
        </is>
      </c>
      <c r="B45" s="3" t="inlineStr">
        <is>
          <t>6인용 밥솥 / 쿠쿠 밥솥</t>
        </is>
      </c>
      <c r="C45" s="4" t="inlineStr">
        <is>
          <t>CRP-DHASNL0615FGW</t>
        </is>
      </c>
      <c r="D45" s="5" t="n">
        <v>267710</v>
      </c>
      <c r="E45" s="6" t="inlineStr">
        <is>
          <t>https://prod.danawa.com/info/?pcode=122708165</t>
        </is>
      </c>
      <c r="F45" s="6" t="inlineStr">
        <is>
          <t>https://www.coupang.com/np/search?q=CRP-DHASNL0615FGW</t>
        </is>
      </c>
      <c r="G45" s="5" t="n"/>
      <c r="H45" s="5">
        <f>IF(OR(G45="",D45=""),"",ROUND(G45-D45-G45*0.1188,0))</f>
        <v/>
      </c>
      <c r="I45" s="7">
        <f>IF(OR(G45="",G45=0),"",ROUND(H45/G45*100,1))</f>
        <v/>
      </c>
      <c r="J45" s="3">
        <f>IF(G45="","쿠팡가없음",IF(H45&gt;=10,"✅마진OK","❌미달"))</f>
        <v/>
      </c>
      <c r="K45" s="5" t="n">
        <v>303802</v>
      </c>
      <c r="L45" s="4" t="inlineStr">
        <is>
          <t>옥션</t>
        </is>
      </c>
      <c r="M45" s="4" t="inlineStr">
        <is>
          <t>G마켓=267720</t>
        </is>
      </c>
      <c r="N45" s="3" t="n">
        <v>28</v>
      </c>
      <c r="O45" s="3" t="inlineStr">
        <is>
          <t>미등재</t>
        </is>
      </c>
      <c r="P45" s="4" t="inlineStr">
        <is>
          <t>쿠팡 미등재</t>
        </is>
      </c>
    </row>
    <row r="46" ht="26" customHeight="1">
      <c r="A46" s="3" t="inlineStr">
        <is>
          <t>쿠쿠</t>
        </is>
      </c>
      <c r="B46" s="3" t="inlineStr">
        <is>
          <t>3인용 밥솥 / 쿠쿠 밥솥</t>
        </is>
      </c>
      <c r="C46" s="4" t="inlineStr">
        <is>
          <t>CRP-MHTR0310FW</t>
        </is>
      </c>
      <c r="D46" s="5" t="n">
        <v>232910</v>
      </c>
      <c r="E46" s="6" t="inlineStr">
        <is>
          <t>https://prod.danawa.com/info/?pcode=13480025</t>
        </is>
      </c>
      <c r="F46" s="6" t="inlineStr">
        <is>
          <t>https://www.coupang.com/np/search?q=CRP-MHTR0310FW</t>
        </is>
      </c>
      <c r="G46" s="5" t="n"/>
      <c r="H46" s="5">
        <f>IF(OR(G46="",D46=""),"",ROUND(G46-D46-G46*0.1188,0))</f>
        <v/>
      </c>
      <c r="I46" s="7">
        <f>IF(OR(G46="",G46=0),"",ROUND(H46/G46*100,1))</f>
        <v/>
      </c>
      <c r="J46" s="3">
        <f>IF(G46="","쿠팡가없음",IF(H46&gt;=10,"✅마진OK","❌미달"))</f>
        <v/>
      </c>
      <c r="K46" s="5" t="n">
        <v>264310</v>
      </c>
      <c r="L46" s="4" t="inlineStr">
        <is>
          <t>11번가</t>
        </is>
      </c>
      <c r="M46" s="4" t="inlineStr">
        <is>
          <t>롯데ON=232970</t>
        </is>
      </c>
      <c r="N46" s="3" t="n">
        <v>495</v>
      </c>
      <c r="O46" s="3" t="inlineStr">
        <is>
          <t>미등재</t>
        </is>
      </c>
      <c r="P46" s="4" t="inlineStr">
        <is>
          <t>쿠팡 미등재</t>
        </is>
      </c>
    </row>
    <row r="47" ht="26" customHeight="1">
      <c r="A47" s="3" t="inlineStr">
        <is>
          <t>쿠쿠</t>
        </is>
      </c>
      <c r="B47" s="3" t="inlineStr">
        <is>
          <t>3인용 밥솥 / 쿠쿠 밥솥</t>
        </is>
      </c>
      <c r="C47" s="4" t="inlineStr">
        <is>
          <t>CRP-HQB0310FS</t>
        </is>
      </c>
      <c r="D47" s="5" t="n">
        <v>160900</v>
      </c>
      <c r="E47" s="6" t="inlineStr">
        <is>
          <t>https://prod.danawa.com/info/?pcode=7412134</t>
        </is>
      </c>
      <c r="F47" s="6" t="inlineStr">
        <is>
          <t>https://www.coupang.com/np/search?q=CRP-HQB0310FS</t>
        </is>
      </c>
      <c r="G47" s="5" t="n"/>
      <c r="H47" s="5">
        <f>IF(OR(G47="",D47=""),"",ROUND(G47-D47-G47*0.1188,0))</f>
        <v/>
      </c>
      <c r="I47" s="7">
        <f>IF(OR(G47="",G47=0),"",ROUND(H47/G47*100,1))</f>
        <v/>
      </c>
      <c r="J47" s="3">
        <f>IF(G47="","쿠팡가없음",IF(H47&gt;=10,"✅마진OK","❌미달"))</f>
        <v/>
      </c>
      <c r="K47" s="5" t="n">
        <v>182592</v>
      </c>
      <c r="L47" s="4" t="inlineStr">
        <is>
          <t>G마켓</t>
        </is>
      </c>
      <c r="M47" s="4" t="inlineStr">
        <is>
          <t>옥션=161240</t>
        </is>
      </c>
      <c r="N47" s="3" t="n">
        <v>395</v>
      </c>
      <c r="O47" s="3" t="inlineStr">
        <is>
          <t>미등재</t>
        </is>
      </c>
      <c r="P47" s="4" t="inlineStr">
        <is>
          <t>롯데백 156,280은 카드전용가 제외</t>
        </is>
      </c>
    </row>
  </sheetData>
  <mergeCells count="1">
    <mergeCell ref="A1:P1"/>
  </mergeCells>
  <conditionalFormatting sqref="H3:H47">
    <cfRule type="cellIs" priority="1" operator="greaterThanOrEqual" dxfId="0">
      <formula>10</formula>
    </cfRule>
    <cfRule type="cellIs" priority="2" operator="lessThan" dxfId="1">
      <formula>10</formula>
    </cfRule>
  </conditionalFormatting>
  <conditionalFormatting sqref="O3:O47">
    <cfRule type="expression" priority="3" dxfId="2">
      <formula>ISNUMBER(SEARCH("로켓",O3))</formula>
    </cfRule>
  </conditionalFormatting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E6" r:id="rId7"/>
    <hyperlink xmlns:r="http://schemas.openxmlformats.org/officeDocument/2006/relationships" ref="F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F10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E13" r:id="rId21"/>
    <hyperlink xmlns:r="http://schemas.openxmlformats.org/officeDocument/2006/relationships" ref="F13" r:id="rId22"/>
    <hyperlink xmlns:r="http://schemas.openxmlformats.org/officeDocument/2006/relationships" ref="E14" r:id="rId23"/>
    <hyperlink xmlns:r="http://schemas.openxmlformats.org/officeDocument/2006/relationships" ref="F14" r:id="rId24"/>
    <hyperlink xmlns:r="http://schemas.openxmlformats.org/officeDocument/2006/relationships" ref="E15" r:id="rId25"/>
    <hyperlink xmlns:r="http://schemas.openxmlformats.org/officeDocument/2006/relationships" ref="F15" r:id="rId26"/>
    <hyperlink xmlns:r="http://schemas.openxmlformats.org/officeDocument/2006/relationships" ref="E16" r:id="rId27"/>
    <hyperlink xmlns:r="http://schemas.openxmlformats.org/officeDocument/2006/relationships" ref="F16" r:id="rId28"/>
    <hyperlink xmlns:r="http://schemas.openxmlformats.org/officeDocument/2006/relationships" ref="E17" r:id="rId29"/>
    <hyperlink xmlns:r="http://schemas.openxmlformats.org/officeDocument/2006/relationships" ref="F17" r:id="rId30"/>
    <hyperlink xmlns:r="http://schemas.openxmlformats.org/officeDocument/2006/relationships" ref="E18" r:id="rId31"/>
    <hyperlink xmlns:r="http://schemas.openxmlformats.org/officeDocument/2006/relationships" ref="F18" r:id="rId32"/>
    <hyperlink xmlns:r="http://schemas.openxmlformats.org/officeDocument/2006/relationships" ref="E19" r:id="rId33"/>
    <hyperlink xmlns:r="http://schemas.openxmlformats.org/officeDocument/2006/relationships" ref="F19" r:id="rId34"/>
    <hyperlink xmlns:r="http://schemas.openxmlformats.org/officeDocument/2006/relationships" ref="E20" r:id="rId35"/>
    <hyperlink xmlns:r="http://schemas.openxmlformats.org/officeDocument/2006/relationships" ref="F20" r:id="rId36"/>
    <hyperlink xmlns:r="http://schemas.openxmlformats.org/officeDocument/2006/relationships" ref="E21" r:id="rId37"/>
    <hyperlink xmlns:r="http://schemas.openxmlformats.org/officeDocument/2006/relationships" ref="F21" r:id="rId38"/>
    <hyperlink xmlns:r="http://schemas.openxmlformats.org/officeDocument/2006/relationships" ref="E22" r:id="rId39"/>
    <hyperlink xmlns:r="http://schemas.openxmlformats.org/officeDocument/2006/relationships" ref="F22" r:id="rId40"/>
    <hyperlink xmlns:r="http://schemas.openxmlformats.org/officeDocument/2006/relationships" ref="E23" r:id="rId41"/>
    <hyperlink xmlns:r="http://schemas.openxmlformats.org/officeDocument/2006/relationships" ref="F23" r:id="rId42"/>
    <hyperlink xmlns:r="http://schemas.openxmlformats.org/officeDocument/2006/relationships" ref="E24" r:id="rId43"/>
    <hyperlink xmlns:r="http://schemas.openxmlformats.org/officeDocument/2006/relationships" ref="F24" r:id="rId44"/>
    <hyperlink xmlns:r="http://schemas.openxmlformats.org/officeDocument/2006/relationships" ref="E25" r:id="rId45"/>
    <hyperlink xmlns:r="http://schemas.openxmlformats.org/officeDocument/2006/relationships" ref="F25" r:id="rId46"/>
    <hyperlink xmlns:r="http://schemas.openxmlformats.org/officeDocument/2006/relationships" ref="E26" r:id="rId47"/>
    <hyperlink xmlns:r="http://schemas.openxmlformats.org/officeDocument/2006/relationships" ref="F26" r:id="rId48"/>
    <hyperlink xmlns:r="http://schemas.openxmlformats.org/officeDocument/2006/relationships" ref="E27" r:id="rId49"/>
    <hyperlink xmlns:r="http://schemas.openxmlformats.org/officeDocument/2006/relationships" ref="F27" r:id="rId50"/>
    <hyperlink xmlns:r="http://schemas.openxmlformats.org/officeDocument/2006/relationships" ref="E28" r:id="rId51"/>
    <hyperlink xmlns:r="http://schemas.openxmlformats.org/officeDocument/2006/relationships" ref="F28" r:id="rId52"/>
    <hyperlink xmlns:r="http://schemas.openxmlformats.org/officeDocument/2006/relationships" ref="E29" r:id="rId53"/>
    <hyperlink xmlns:r="http://schemas.openxmlformats.org/officeDocument/2006/relationships" ref="F29" r:id="rId54"/>
    <hyperlink xmlns:r="http://schemas.openxmlformats.org/officeDocument/2006/relationships" ref="E30" r:id="rId55"/>
    <hyperlink xmlns:r="http://schemas.openxmlformats.org/officeDocument/2006/relationships" ref="F30" r:id="rId56"/>
    <hyperlink xmlns:r="http://schemas.openxmlformats.org/officeDocument/2006/relationships" ref="E31" r:id="rId57"/>
    <hyperlink xmlns:r="http://schemas.openxmlformats.org/officeDocument/2006/relationships" ref="F31" r:id="rId58"/>
    <hyperlink xmlns:r="http://schemas.openxmlformats.org/officeDocument/2006/relationships" ref="E32" r:id="rId59"/>
    <hyperlink xmlns:r="http://schemas.openxmlformats.org/officeDocument/2006/relationships" ref="F32" r:id="rId60"/>
    <hyperlink xmlns:r="http://schemas.openxmlformats.org/officeDocument/2006/relationships" ref="E33" r:id="rId61"/>
    <hyperlink xmlns:r="http://schemas.openxmlformats.org/officeDocument/2006/relationships" ref="F33" r:id="rId62"/>
    <hyperlink xmlns:r="http://schemas.openxmlformats.org/officeDocument/2006/relationships" ref="E34" r:id="rId63"/>
    <hyperlink xmlns:r="http://schemas.openxmlformats.org/officeDocument/2006/relationships" ref="F34" r:id="rId64"/>
    <hyperlink xmlns:r="http://schemas.openxmlformats.org/officeDocument/2006/relationships" ref="E35" r:id="rId65"/>
    <hyperlink xmlns:r="http://schemas.openxmlformats.org/officeDocument/2006/relationships" ref="F35" r:id="rId66"/>
    <hyperlink xmlns:r="http://schemas.openxmlformats.org/officeDocument/2006/relationships" ref="E36" r:id="rId67"/>
    <hyperlink xmlns:r="http://schemas.openxmlformats.org/officeDocument/2006/relationships" ref="F36" r:id="rId68"/>
    <hyperlink xmlns:r="http://schemas.openxmlformats.org/officeDocument/2006/relationships" ref="E37" r:id="rId69"/>
    <hyperlink xmlns:r="http://schemas.openxmlformats.org/officeDocument/2006/relationships" ref="F37" r:id="rId70"/>
    <hyperlink xmlns:r="http://schemas.openxmlformats.org/officeDocument/2006/relationships" ref="E38" r:id="rId71"/>
    <hyperlink xmlns:r="http://schemas.openxmlformats.org/officeDocument/2006/relationships" ref="F38" r:id="rId72"/>
    <hyperlink xmlns:r="http://schemas.openxmlformats.org/officeDocument/2006/relationships" ref="E39" r:id="rId73"/>
    <hyperlink xmlns:r="http://schemas.openxmlformats.org/officeDocument/2006/relationships" ref="F39" r:id="rId74"/>
    <hyperlink xmlns:r="http://schemas.openxmlformats.org/officeDocument/2006/relationships" ref="E40" r:id="rId75"/>
    <hyperlink xmlns:r="http://schemas.openxmlformats.org/officeDocument/2006/relationships" ref="F40" r:id="rId76"/>
    <hyperlink xmlns:r="http://schemas.openxmlformats.org/officeDocument/2006/relationships" ref="E41" r:id="rId77"/>
    <hyperlink xmlns:r="http://schemas.openxmlformats.org/officeDocument/2006/relationships" ref="F41" r:id="rId78"/>
    <hyperlink xmlns:r="http://schemas.openxmlformats.org/officeDocument/2006/relationships" ref="E42" r:id="rId79"/>
    <hyperlink xmlns:r="http://schemas.openxmlformats.org/officeDocument/2006/relationships" ref="F42" r:id="rId80"/>
    <hyperlink xmlns:r="http://schemas.openxmlformats.org/officeDocument/2006/relationships" ref="E43" r:id="rId81"/>
    <hyperlink xmlns:r="http://schemas.openxmlformats.org/officeDocument/2006/relationships" ref="F43" r:id="rId82"/>
    <hyperlink xmlns:r="http://schemas.openxmlformats.org/officeDocument/2006/relationships" ref="E44" r:id="rId83"/>
    <hyperlink xmlns:r="http://schemas.openxmlformats.org/officeDocument/2006/relationships" ref="F44" r:id="rId84"/>
    <hyperlink xmlns:r="http://schemas.openxmlformats.org/officeDocument/2006/relationships" ref="E45" r:id="rId85"/>
    <hyperlink xmlns:r="http://schemas.openxmlformats.org/officeDocument/2006/relationships" ref="F45" r:id="rId86"/>
    <hyperlink xmlns:r="http://schemas.openxmlformats.org/officeDocument/2006/relationships" ref="E46" r:id="rId87"/>
    <hyperlink xmlns:r="http://schemas.openxmlformats.org/officeDocument/2006/relationships" ref="F46" r:id="rId88"/>
    <hyperlink xmlns:r="http://schemas.openxmlformats.org/officeDocument/2006/relationships" ref="E47" r:id="rId89"/>
    <hyperlink xmlns:r="http://schemas.openxmlformats.org/officeDocument/2006/relationships" ref="F47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13" customWidth="1" min="4" max="4"/>
    <col width="12" customWidth="1" min="5" max="5"/>
    <col width="11" customWidth="1" min="6" max="6"/>
    <col width="14" customWidth="1" min="7" max="7"/>
    <col width="9" customWidth="1" min="8" max="8"/>
    <col width="28" customWidth="1" min="9" max="9"/>
    <col width="28" customWidth="1" min="10" max="10"/>
    <col width="42" customWidth="1" min="11" max="11"/>
  </cols>
  <sheetData>
    <row r="1">
      <c r="A1" s="8" t="inlineStr">
        <is>
          <t>순위</t>
        </is>
      </c>
      <c r="B1" s="8" t="inlineStr">
        <is>
          <t>브랜드</t>
        </is>
      </c>
      <c r="C1" s="8" t="inlineStr">
        <is>
          <t>모델명</t>
        </is>
      </c>
      <c r="D1" s="8" t="inlineStr">
        <is>
          <t>매입가(비쿠팡최저)</t>
        </is>
      </c>
      <c r="E1" s="8" t="inlineStr">
        <is>
          <t>매입처</t>
        </is>
      </c>
      <c r="F1" s="8" t="inlineStr">
        <is>
          <t>쿠팡 판매가</t>
        </is>
      </c>
      <c r="G1" s="8" t="inlineStr">
        <is>
          <t>예상마진(11.88%공제)</t>
        </is>
      </c>
      <c r="H1" s="8" t="inlineStr">
        <is>
          <t>마진율(%)</t>
        </is>
      </c>
      <c r="I1" s="8" t="inlineStr">
        <is>
          <t>다나와 URL</t>
        </is>
      </c>
      <c r="J1" s="8" t="inlineStr">
        <is>
          <t>쿠팡 URL</t>
        </is>
      </c>
      <c r="K1" s="8" t="inlineStr">
        <is>
          <t>검증/주의</t>
        </is>
      </c>
    </row>
    <row r="2" ht="26" customHeight="1">
      <c r="A2" s="3" t="n">
        <v>1</v>
      </c>
      <c r="B2" s="3" t="inlineStr">
        <is>
          <t>쿠쿠</t>
        </is>
      </c>
      <c r="C2" s="4" t="inlineStr">
        <is>
          <t>CRP-DHP0610FW</t>
        </is>
      </c>
      <c r="D2" s="5" t="n">
        <v>210350</v>
      </c>
      <c r="E2" s="4" t="inlineStr">
        <is>
          <t>옥션</t>
        </is>
      </c>
      <c r="F2" s="5" t="n">
        <v>263990</v>
      </c>
      <c r="G2" s="9" t="n">
        <v>22278</v>
      </c>
      <c r="H2" s="7" t="n">
        <v>8.4</v>
      </c>
      <c r="I2" s="6" t="inlineStr">
        <is>
          <t>https://prod.danawa.com/info/?pcode=17107061</t>
        </is>
      </c>
      <c r="J2" s="6" t="inlineStr">
        <is>
          <t>https://www.coupang.com/vp/products/8605638836</t>
        </is>
      </c>
      <c r="K2" s="4" t="inlineStr">
        <is>
          <t>판매중·판매자배송(폴센트 7/10 실측). 동일 모델·색상 확인</t>
        </is>
      </c>
    </row>
    <row r="3" ht="26" customHeight="1">
      <c r="A3" s="3" t="n">
        <v>2</v>
      </c>
      <c r="B3" s="3" t="inlineStr">
        <is>
          <t>키친아트</t>
        </is>
      </c>
      <c r="C3" s="4" t="inlineStr">
        <is>
          <t>KRC-BS9906</t>
        </is>
      </c>
      <c r="D3" s="5" t="n">
        <v>24720</v>
      </c>
      <c r="E3" s="4" t="inlineStr">
        <is>
          <t>11번가</t>
        </is>
      </c>
      <c r="F3" s="5" t="n">
        <v>28430</v>
      </c>
      <c r="G3" s="9" t="n">
        <v>333</v>
      </c>
      <c r="H3" s="7" t="n">
        <v>1.2</v>
      </c>
      <c r="I3" s="6" t="inlineStr">
        <is>
          <t>https://prod.danawa.com/info/?pcode=79453496</t>
        </is>
      </c>
      <c r="J3" s="6" t="inlineStr">
        <is>
          <t>https://www.coupang.com/vp/products/8700969099</t>
        </is>
      </c>
      <c r="K3" s="4" t="inlineStr">
        <is>
          <t>판매중·판매자배송(폴센트 7/10 실측). 역대최저 27,300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2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0" t="inlineStr">
        <is>
          <t>밥솥 소싱 조사 — 방법·결론 (2026-07-10 KST)</t>
        </is>
      </c>
    </row>
    <row r="2">
      <c r="B2" s="11" t="inlineStr"/>
    </row>
    <row r="3">
      <c r="B3" s="12" t="inlineStr">
        <is>
          <t>방법 (제습기 조사와 동일 파이프라인)</t>
        </is>
      </c>
    </row>
    <row r="4">
      <c r="B4" s="11" t="inlineStr">
        <is>
          <t>① 다나와에서 쿠쿠/쿠첸/키친아트 등 45종 수집(모델번호·최저가·판매처수·pcode) ② 각 상품페이지에서 '쿠팡 등재가'와 '비쿠팡 국내최저가(해외·품절·카드전용 제외)'를 오늘 기준 실조회 ③ 예상마진=쿠팡가−매입가−쿠팡가×11.88% ④ 양수 후보는 폴센트로 쿠팡 판매상태·배송형태 실측</t>
        </is>
      </c>
    </row>
    <row r="5">
      <c r="B5" s="12" t="inlineStr">
        <is>
          <t>냉정한 결론</t>
        </is>
      </c>
    </row>
    <row r="6">
      <c r="B6" s="11" t="inlineStr">
        <is>
          <t>· 45종 중 마진 ≥10원은 단 2종. 밥솥은 모델당 다나와 판매처가 300~600곳(제습기의 2~3배)인 극단적 출혈경쟁 카테고리 + 쿠쿠몰/쿠첸 공식몰이 가격 통제 → 쿠팡 등재가가 비쿠팡 최저가와 거의 같거나 오히려 더 쌈(역마진).</t>
        </is>
      </c>
    </row>
    <row r="7">
      <c r="B7" s="11" t="inlineStr">
        <is>
          <t>· 유일한 실질 후보: 쿠쿠 CRP-DHP0610FW (6인용 IH). 쿠팡 263,990원 판매중·판매자배송(폴센트 실측, 동일 모델·색상 확인) vs 옥션 매입 210,350원 → 마진 +22,278원(8.4%). 단, 스프레드 5만원대가 유지될지는 옥션 재고·쿠팡 위너 변동에 달림 — 소량(1~3개) 테스트만 권장.</t>
        </is>
      </c>
    </row>
    <row r="8">
      <c r="B8" s="11" t="inlineStr">
        <is>
          <t>· KRC-BS9906(키친아트 소형)은 +333원으로 사실상 무의미.</t>
        </is>
      </c>
    </row>
    <row r="9">
      <c r="B9" s="11" t="inlineStr">
        <is>
          <t>· 로켓 표기 6종(CRP-LHTR1010FGIM, CRH-TWS1010W, CRP-EHS0320FSM, CRH-TWS0610W, CRT-RPS0691BW, CJE-CD0302, CRT-TWK0370CY)은 윙 경쟁 불가 → 제외.</t>
        </is>
      </c>
    </row>
    <row r="10">
      <c r="B10" s="12" t="inlineStr">
        <is>
          <t>주의</t>
        </is>
      </c>
    </row>
    <row r="11">
      <c r="B11" s="11" t="inlineStr">
        <is>
          <t>· 쿠팡 등재가는 다나와 연동 기준이라 실시간과 다를 수 있음 — 등록 전 쿠팡 URL 클릭해 위너가·판매자수·리뷰 확인 필수.</t>
        </is>
      </c>
    </row>
    <row r="12">
      <c r="B12" s="11" t="inlineStr">
        <is>
          <t>· 매입 전 옥션/G마켓 등 매입처 직접 진입해 결제단계 최종가 확인(링크 경유가와 직진입가 상이 가능).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2026-07-10T06:44:23Z</dcterms:created>
  <dcterms:modified xsi:type="dcterms:W3CDTF">2026-07-10T06:44:23Z</dcterms:modified>
</cp:coreProperties>
</file>