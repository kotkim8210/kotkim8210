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빠른진단" sheetId="1" state="visible" r:id="rId1"/>
    <sheet name="2_SKU별손익" sheetId="2" state="visible" r:id="rId2"/>
    <sheet name="3_전환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164" fontId="6" fillId="4" borderId="1" pivotButton="0" quotePrefix="0" xfId="0"/>
    <xf numFmtId="0" fontId="3" fillId="0" borderId="1" pivotButton="0" quotePrefix="0" xfId="0"/>
    <xf numFmtId="0" fontId="4" fillId="5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2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wrapText="1"/>
    </xf>
    <xf numFmtId="0" fontId="6" fillId="4" borderId="1" pivotButton="0" quotePrefix="0" xfId="0"/>
    <xf numFmtId="3" fontId="6" fillId="4" borderId="1" pivotButton="0" quotePrefix="0" xfId="0"/>
    <xf numFmtId="0" fontId="5" fillId="0" borderId="1" applyAlignment="1" pivotButton="0" quotePrefix="0" xfId="0">
      <alignment horizontal="center"/>
    </xf>
    <xf numFmtId="3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0" fillId="5" borderId="1" pivotButton="0" quotePrefix="0" xfId="0"/>
    <xf numFmtId="0" fontId="4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4" fillId="3" borderId="1" applyAlignment="1" pivotButton="0" quotePrefix="0" xfId="0">
      <alignment horizontal="center"/>
    </xf>
    <xf numFmtId="164" fontId="7" fillId="0" borderId="1" pivotButton="0" quotePrefix="0" xfId="0"/>
    <xf numFmtId="1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34" customWidth="1" min="6" max="6"/>
  </cols>
  <sheetData>
    <row r="2" ht="26" customHeight="1">
      <c r="B2" s="1" t="inlineStr">
        <is>
          <t>이커머스 순이익률 30분 진단</t>
        </is>
      </c>
    </row>
    <row r="4">
      <c r="B4" s="2" t="inlineStr">
        <is>
          <t>쓰는 법</t>
        </is>
      </c>
    </row>
    <row r="5">
      <c r="B5" s="3" t="inlineStr">
        <is>
          <t>① 노란 칸에만 최근 3개월치 숫자를 넣는다. 검은 글씨는 자동 계산이므로 건드리지 않는다.</t>
        </is>
      </c>
    </row>
    <row r="6">
      <c r="B6" s="3" t="inlineStr">
        <is>
          <t>② SKU별로 쪼갤 필요 없다. 쿠팡 정산내역서는 수수료·쿠폰·반품이 이미 차감된 실입금액이다.</t>
        </is>
      </c>
    </row>
    <row r="7">
      <c r="B7" s="3" t="inlineStr">
        <is>
          <t>③ 3개월이면 충분하다. 계절 편차가 크면 6개월로 늘린다.</t>
        </is>
      </c>
    </row>
    <row r="8">
      <c r="B8" s="3" t="inlineStr">
        <is>
          <t>④ 결과는 아래 '판정'에 자동으로 뜬다.</t>
        </is>
      </c>
    </row>
    <row r="10">
      <c r="B10" s="2" t="inlineStr">
        <is>
          <t>입력 (노란 칸을 채울 것)</t>
        </is>
      </c>
    </row>
    <row r="11">
      <c r="B11" s="4" t="inlineStr">
        <is>
          <t>항목</t>
        </is>
      </c>
      <c r="C11" s="4" t="inlineStr">
        <is>
          <t>3개월 합계</t>
        </is>
      </c>
      <c r="D11" s="4" t="inlineStr">
        <is>
          <t>비고</t>
        </is>
      </c>
    </row>
    <row r="12">
      <c r="B12" s="5" t="inlineStr">
        <is>
          <t>① 쿠팡 정산 실입금액</t>
        </is>
      </c>
      <c r="C12" s="6" t="n">
        <v>0</v>
      </c>
      <c r="D12" s="7" t="inlineStr">
        <is>
          <t>정산내역서 '지급액' 3개월 합계 (예: 6000만원이면 60000000)</t>
        </is>
      </c>
    </row>
    <row r="13">
      <c r="B13" s="5" t="inlineStr">
        <is>
          <t>② 상품 매입원가</t>
        </is>
      </c>
      <c r="C13" s="6" t="n">
        <v>0</v>
      </c>
      <c r="D13" s="7" t="inlineStr">
        <is>
          <t>매입세금계산서 합계 (판매분 기준)</t>
        </is>
      </c>
    </row>
    <row r="14">
      <c r="B14" s="5" t="inlineStr">
        <is>
          <t>③ 광고비</t>
        </is>
      </c>
      <c r="C14" s="6" t="n">
        <v>0</v>
      </c>
      <c r="D14" s="7" t="inlineStr">
        <is>
          <t>쿠팡 광고 + 외부 광고 전부</t>
        </is>
      </c>
    </row>
    <row r="15">
      <c r="B15" s="5" t="inlineStr">
        <is>
          <t>④ 기타 비용</t>
        </is>
      </c>
      <c r="C15" s="6" t="n">
        <v>0</v>
      </c>
      <c r="D15" s="7" t="inlineStr">
        <is>
          <t>포장·택배·창고·부가 수수료 등</t>
        </is>
      </c>
    </row>
    <row r="16">
      <c r="B16" s="5" t="inlineStr">
        <is>
          <t>⑤ 내 인건비(선택)</t>
        </is>
      </c>
      <c r="C16" s="6" t="n">
        <v>0</v>
      </c>
      <c r="D16" s="7" t="inlineStr">
        <is>
          <t>0으로 두면 '사장 급여 미차감' 기준</t>
        </is>
      </c>
    </row>
    <row r="18">
      <c r="B18" s="2" t="inlineStr">
        <is>
          <t>결과</t>
        </is>
      </c>
    </row>
    <row r="19">
      <c r="B19" s="8" t="inlineStr">
        <is>
          <t>3개월 순이익</t>
        </is>
      </c>
      <c r="C19" s="9">
        <f>C12-C13-C14-C15-C16</f>
        <v/>
      </c>
      <c r="D19" s="7" t="inlineStr">
        <is>
          <t>실입금 − 매입 − 광고 − 기타 − 내인건비</t>
        </is>
      </c>
    </row>
    <row r="20">
      <c r="B20" s="8" t="inlineStr">
        <is>
          <t>월평균 순이익</t>
        </is>
      </c>
      <c r="C20" s="9">
        <f>C19/3</f>
        <v/>
      </c>
      <c r="D20" s="7" t="inlineStr">
        <is>
          <t>3으로 나눈 값</t>
        </is>
      </c>
    </row>
    <row r="21">
      <c r="B21" s="8" t="inlineStr">
        <is>
          <t>순이익률</t>
        </is>
      </c>
      <c r="C21" s="10">
        <f>IF(C12=0,"",C19/C12)</f>
        <v/>
      </c>
      <c r="D21" s="7" t="inlineStr">
        <is>
          <t>순이익 ÷ 3개월 매출</t>
        </is>
      </c>
    </row>
    <row r="22">
      <c r="B22" s="8" t="inlineStr">
        <is>
          <t>연 환산 순이익</t>
        </is>
      </c>
      <c r="C22" s="9">
        <f>C20*12</f>
        <v/>
      </c>
      <c r="D22" s="7" t="inlineStr">
        <is>
          <t>계절성 보정 없는 단순 환산</t>
        </is>
      </c>
    </row>
    <row r="24">
      <c r="B24" s="2" t="inlineStr">
        <is>
          <t>판정</t>
        </is>
      </c>
    </row>
    <row r="25" ht="32" customHeight="1">
      <c r="B25" s="11">
        <f>IF(C12=0,"↑ 위 노란 칸을 채우면 판정이 나옵니다.",IF(C21&gt;=0.12,"유지 — 순이익률 12% 이상. 업종을 바꿀 이유가 없다. 기존 사업 확대에 집중.",IF(C21&gt;=0.05,"병행 — 5~12% 구간. 개선 여지가 크다. SKU 정리(2번 탭)를 먼저 하라.",IF(C21&gt;0,"위험 — 5% 미만. 구조적으로 자산 형성 경로에 올릴 수 없다. 전환 검토.","적자 — 즉시 중단할 SKU가 있다. 2번 탭에서 하위 SKU부터 잘라라."))))</f>
        <v/>
      </c>
    </row>
    <row r="27">
      <c r="B27" s="2" t="inlineStr">
        <is>
          <t>판정 기준의 근거</t>
        </is>
      </c>
    </row>
    <row r="28">
      <c r="B28" s="3" t="inlineStr">
        <is>
          <t>· 통신판매업 3년 생존율 45.7% (국세청 100대 생활업종, 2023) — 100대 업종 중 최저.</t>
        </is>
      </c>
    </row>
    <row r="29">
      <c r="B29" s="3" t="inlineStr">
        <is>
          <t>· 학교 청소용역 실측 중앙 단가: 경남 150만원 / 인천 110만원 (교육청 계약공개 전수조사, 2026-08).</t>
        </is>
      </c>
    </row>
    <row r="30">
      <c r="B30" s="3" t="inlineStr">
        <is>
          <t>· 인천 학교 저수조 시장 1위 업체 연환산 매출 5,937만원 — 전환처의 천장이 이 수준이다.</t>
        </is>
      </c>
    </row>
    <row r="31">
      <c r="B31" s="3" t="inlineStr">
        <is>
          <t>· 즉 '전환'은 이커머스 연 순이익이 이 수준을 밑돌 때만 산술적으로 우월하다.</t>
        </is>
      </c>
    </row>
  </sheetData>
  <mergeCells count="10">
    <mergeCell ref="B30:F30"/>
    <mergeCell ref="B29:F29"/>
    <mergeCell ref="B7:F7"/>
    <mergeCell ref="B6:F6"/>
    <mergeCell ref="B2:F2"/>
    <mergeCell ref="B25:F25"/>
    <mergeCell ref="B28:F28"/>
    <mergeCell ref="B5:F5"/>
    <mergeCell ref="B31:F31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</cols>
  <sheetData>
    <row r="2" ht="26" customHeight="1">
      <c r="B2" s="1" t="inlineStr">
        <is>
          <t>SKU별 손익 — 어느 상품이 돈을 갉아먹는가</t>
        </is>
      </c>
    </row>
    <row r="3">
      <c r="B3" s="3" t="inlineStr">
        <is>
          <t>노란 칸(C~H열)만 입력. I~K열은 자동 계산. 3행은 형식 예시이므로 지우고 쓸 것.</t>
        </is>
      </c>
    </row>
    <row r="5">
      <c r="B5" s="12" t="inlineStr">
        <is>
          <t>SKU / 상품명</t>
        </is>
      </c>
      <c r="C5" s="12" t="inlineStr">
        <is>
          <t>판매수량</t>
        </is>
      </c>
      <c r="D5" s="12" t="inlineStr">
        <is>
          <t>매출액</t>
        </is>
      </c>
      <c r="E5" s="12" t="inlineStr">
        <is>
          <t>매입원가</t>
        </is>
      </c>
      <c r="F5" s="12" t="inlineStr">
        <is>
          <t>쿠팡수수료</t>
        </is>
      </c>
      <c r="G5" s="12" t="inlineStr">
        <is>
          <t>광고비</t>
        </is>
      </c>
      <c r="H5" s="12" t="inlineStr">
        <is>
          <t>포장·배송비</t>
        </is>
      </c>
      <c r="I5" s="12" t="inlineStr">
        <is>
          <t>공헌이익</t>
        </is>
      </c>
      <c r="J5" s="12" t="inlineStr">
        <is>
          <t>이익률</t>
        </is>
      </c>
      <c r="K5" s="12" t="inlineStr">
        <is>
          <t>판정</t>
        </is>
      </c>
    </row>
    <row r="6">
      <c r="B6" s="13" t="inlineStr">
        <is>
          <t>(예시) 프리미엄 식용유 1.8L</t>
        </is>
      </c>
      <c r="C6" s="14" t="n">
        <v>120</v>
      </c>
      <c r="D6" s="6" t="n">
        <v>3600000</v>
      </c>
      <c r="E6" s="6" t="n">
        <v>2400000</v>
      </c>
      <c r="F6" s="6" t="n">
        <v>396000</v>
      </c>
      <c r="G6" s="6" t="n">
        <v>300000</v>
      </c>
      <c r="H6" s="6" t="n">
        <v>180000</v>
      </c>
      <c r="I6" s="9">
        <f>IF(D6="","",D6-E6-F6-G6-H6)</f>
        <v/>
      </c>
      <c r="J6" s="10">
        <f>IF(N(D6)=0,"",I6/D6)</f>
        <v/>
      </c>
      <c r="K6" s="15">
        <f>IF(N(D6)=0,"",IF(J6&lt;0,"즉시 중단 검토",IF(J6&lt;0.05,"가격·원가 재협상",IF(J6&lt;0.15,"유지","확대 후보"))))</f>
        <v/>
      </c>
    </row>
    <row r="7">
      <c r="B7" s="13" t="n"/>
      <c r="C7" s="14" t="n"/>
      <c r="D7" s="6" t="n"/>
      <c r="E7" s="6" t="n"/>
      <c r="F7" s="6" t="n"/>
      <c r="G7" s="6" t="n"/>
      <c r="H7" s="6" t="n"/>
      <c r="I7" s="9">
        <f>IF(D7="","",D7-E7-F7-G7-H7)</f>
        <v/>
      </c>
      <c r="J7" s="10">
        <f>IF(N(D7)=0,"",I7/D7)</f>
        <v/>
      </c>
      <c r="K7" s="15">
        <f>IF(N(D7)=0,"",IF(J7&lt;0,"즉시 중단 검토",IF(J7&lt;0.05,"가격·원가 재협상",IF(J7&lt;0.15,"유지","확대 후보"))))</f>
        <v/>
      </c>
    </row>
    <row r="8">
      <c r="B8" s="13" t="n"/>
      <c r="C8" s="14" t="n"/>
      <c r="D8" s="6" t="n"/>
      <c r="E8" s="6" t="n"/>
      <c r="F8" s="6" t="n"/>
      <c r="G8" s="6" t="n"/>
      <c r="H8" s="6" t="n"/>
      <c r="I8" s="9">
        <f>IF(D8="","",D8-E8-F8-G8-H8)</f>
        <v/>
      </c>
      <c r="J8" s="10">
        <f>IF(N(D8)=0,"",I8/D8)</f>
        <v/>
      </c>
      <c r="K8" s="15">
        <f>IF(N(D8)=0,"",IF(J8&lt;0,"즉시 중단 검토",IF(J8&lt;0.05,"가격·원가 재협상",IF(J8&lt;0.15,"유지","확대 후보"))))</f>
        <v/>
      </c>
    </row>
    <row r="9">
      <c r="B9" s="13" t="n"/>
      <c r="C9" s="14" t="n"/>
      <c r="D9" s="6" t="n"/>
      <c r="E9" s="6" t="n"/>
      <c r="F9" s="6" t="n"/>
      <c r="G9" s="6" t="n"/>
      <c r="H9" s="6" t="n"/>
      <c r="I9" s="9">
        <f>IF(D9="","",D9-E9-F9-G9-H9)</f>
        <v/>
      </c>
      <c r="J9" s="10">
        <f>IF(N(D9)=0,"",I9/D9)</f>
        <v/>
      </c>
      <c r="K9" s="15">
        <f>IF(N(D9)=0,"",IF(J9&lt;0,"즉시 중단 검토",IF(J9&lt;0.05,"가격·원가 재협상",IF(J9&lt;0.15,"유지","확대 후보"))))</f>
        <v/>
      </c>
    </row>
    <row r="10">
      <c r="B10" s="13" t="n"/>
      <c r="C10" s="14" t="n"/>
      <c r="D10" s="6" t="n"/>
      <c r="E10" s="6" t="n"/>
      <c r="F10" s="6" t="n"/>
      <c r="G10" s="6" t="n"/>
      <c r="H10" s="6" t="n"/>
      <c r="I10" s="9">
        <f>IF(D10="","",D10-E10-F10-G10-H10)</f>
        <v/>
      </c>
      <c r="J10" s="10">
        <f>IF(N(D10)=0,"",I10/D10)</f>
        <v/>
      </c>
      <c r="K10" s="15">
        <f>IF(N(D10)=0,"",IF(J10&lt;0,"즉시 중단 검토",IF(J10&lt;0.05,"가격·원가 재협상",IF(J10&lt;0.15,"유지","확대 후보"))))</f>
        <v/>
      </c>
    </row>
    <row r="11">
      <c r="B11" s="13" t="n"/>
      <c r="C11" s="14" t="n"/>
      <c r="D11" s="6" t="n"/>
      <c r="E11" s="6" t="n"/>
      <c r="F11" s="6" t="n"/>
      <c r="G11" s="6" t="n"/>
      <c r="H11" s="6" t="n"/>
      <c r="I11" s="9">
        <f>IF(D11="","",D11-E11-F11-G11-H11)</f>
        <v/>
      </c>
      <c r="J11" s="10">
        <f>IF(N(D11)=0,"",I11/D11)</f>
        <v/>
      </c>
      <c r="K11" s="15">
        <f>IF(N(D11)=0,"",IF(J11&lt;0,"즉시 중단 검토",IF(J11&lt;0.05,"가격·원가 재협상",IF(J11&lt;0.15,"유지","확대 후보"))))</f>
        <v/>
      </c>
    </row>
    <row r="12">
      <c r="B12" s="13" t="n"/>
      <c r="C12" s="14" t="n"/>
      <c r="D12" s="6" t="n"/>
      <c r="E12" s="6" t="n"/>
      <c r="F12" s="6" t="n"/>
      <c r="G12" s="6" t="n"/>
      <c r="H12" s="6" t="n"/>
      <c r="I12" s="9">
        <f>IF(D12="","",D12-E12-F12-G12-H12)</f>
        <v/>
      </c>
      <c r="J12" s="10">
        <f>IF(N(D12)=0,"",I12/D12)</f>
        <v/>
      </c>
      <c r="K12" s="15">
        <f>IF(N(D12)=0,"",IF(J12&lt;0,"즉시 중단 검토",IF(J12&lt;0.05,"가격·원가 재협상",IF(J12&lt;0.15,"유지","확대 후보"))))</f>
        <v/>
      </c>
    </row>
    <row r="13">
      <c r="B13" s="13" t="n"/>
      <c r="C13" s="14" t="n"/>
      <c r="D13" s="6" t="n"/>
      <c r="E13" s="6" t="n"/>
      <c r="F13" s="6" t="n"/>
      <c r="G13" s="6" t="n"/>
      <c r="H13" s="6" t="n"/>
      <c r="I13" s="9">
        <f>IF(D13="","",D13-E13-F13-G13-H13)</f>
        <v/>
      </c>
      <c r="J13" s="10">
        <f>IF(N(D13)=0,"",I13/D13)</f>
        <v/>
      </c>
      <c r="K13" s="15">
        <f>IF(N(D13)=0,"",IF(J13&lt;0,"즉시 중단 검토",IF(J13&lt;0.05,"가격·원가 재협상",IF(J13&lt;0.15,"유지","확대 후보"))))</f>
        <v/>
      </c>
    </row>
    <row r="14">
      <c r="B14" s="13" t="n"/>
      <c r="C14" s="14" t="n"/>
      <c r="D14" s="6" t="n"/>
      <c r="E14" s="6" t="n"/>
      <c r="F14" s="6" t="n"/>
      <c r="G14" s="6" t="n"/>
      <c r="H14" s="6" t="n"/>
      <c r="I14" s="9">
        <f>IF(D14="","",D14-E14-F14-G14-H14)</f>
        <v/>
      </c>
      <c r="J14" s="10">
        <f>IF(N(D14)=0,"",I14/D14)</f>
        <v/>
      </c>
      <c r="K14" s="15">
        <f>IF(N(D14)=0,"",IF(J14&lt;0,"즉시 중단 검토",IF(J14&lt;0.05,"가격·원가 재협상",IF(J14&lt;0.15,"유지","확대 후보"))))</f>
        <v/>
      </c>
    </row>
    <row r="15">
      <c r="B15" s="13" t="n"/>
      <c r="C15" s="14" t="n"/>
      <c r="D15" s="6" t="n"/>
      <c r="E15" s="6" t="n"/>
      <c r="F15" s="6" t="n"/>
      <c r="G15" s="6" t="n"/>
      <c r="H15" s="6" t="n"/>
      <c r="I15" s="9">
        <f>IF(D15="","",D15-E15-F15-G15-H15)</f>
        <v/>
      </c>
      <c r="J15" s="10">
        <f>IF(N(D15)=0,"",I15/D15)</f>
        <v/>
      </c>
      <c r="K15" s="15">
        <f>IF(N(D15)=0,"",IF(J15&lt;0,"즉시 중단 검토",IF(J15&lt;0.05,"가격·원가 재협상",IF(J15&lt;0.15,"유지","확대 후보"))))</f>
        <v/>
      </c>
    </row>
    <row r="16">
      <c r="B16" s="13" t="n"/>
      <c r="C16" s="14" t="n"/>
      <c r="D16" s="6" t="n"/>
      <c r="E16" s="6" t="n"/>
      <c r="F16" s="6" t="n"/>
      <c r="G16" s="6" t="n"/>
      <c r="H16" s="6" t="n"/>
      <c r="I16" s="9">
        <f>IF(D16="","",D16-E16-F16-G16-H16)</f>
        <v/>
      </c>
      <c r="J16" s="10">
        <f>IF(N(D16)=0,"",I16/D16)</f>
        <v/>
      </c>
      <c r="K16" s="15">
        <f>IF(N(D16)=0,"",IF(J16&lt;0,"즉시 중단 검토",IF(J16&lt;0.05,"가격·원가 재협상",IF(J16&lt;0.15,"유지","확대 후보"))))</f>
        <v/>
      </c>
    </row>
    <row r="17">
      <c r="B17" s="13" t="n"/>
      <c r="C17" s="14" t="n"/>
      <c r="D17" s="6" t="n"/>
      <c r="E17" s="6" t="n"/>
      <c r="F17" s="6" t="n"/>
      <c r="G17" s="6" t="n"/>
      <c r="H17" s="6" t="n"/>
      <c r="I17" s="9">
        <f>IF(D17="","",D17-E17-F17-G17-H17)</f>
        <v/>
      </c>
      <c r="J17" s="10">
        <f>IF(N(D17)=0,"",I17/D17)</f>
        <v/>
      </c>
      <c r="K17" s="15">
        <f>IF(N(D17)=0,"",IF(J17&lt;0,"즉시 중단 검토",IF(J17&lt;0.05,"가격·원가 재협상",IF(J17&lt;0.15,"유지","확대 후보"))))</f>
        <v/>
      </c>
    </row>
    <row r="18">
      <c r="B18" s="13" t="n"/>
      <c r="C18" s="14" t="n"/>
      <c r="D18" s="6" t="n"/>
      <c r="E18" s="6" t="n"/>
      <c r="F18" s="6" t="n"/>
      <c r="G18" s="6" t="n"/>
      <c r="H18" s="6" t="n"/>
      <c r="I18" s="9">
        <f>IF(D18="","",D18-E18-F18-G18-H18)</f>
        <v/>
      </c>
      <c r="J18" s="10">
        <f>IF(N(D18)=0,"",I18/D18)</f>
        <v/>
      </c>
      <c r="K18" s="15">
        <f>IF(N(D18)=0,"",IF(J18&lt;0,"즉시 중단 검토",IF(J18&lt;0.05,"가격·원가 재협상",IF(J18&lt;0.15,"유지","확대 후보"))))</f>
        <v/>
      </c>
    </row>
    <row r="19">
      <c r="B19" s="13" t="n"/>
      <c r="C19" s="14" t="n"/>
      <c r="D19" s="6" t="n"/>
      <c r="E19" s="6" t="n"/>
      <c r="F19" s="6" t="n"/>
      <c r="G19" s="6" t="n"/>
      <c r="H19" s="6" t="n"/>
      <c r="I19" s="9">
        <f>IF(D19="","",D19-E19-F19-G19-H19)</f>
        <v/>
      </c>
      <c r="J19" s="10">
        <f>IF(N(D19)=0,"",I19/D19)</f>
        <v/>
      </c>
      <c r="K19" s="15">
        <f>IF(N(D19)=0,"",IF(J19&lt;0,"즉시 중단 검토",IF(J19&lt;0.05,"가격·원가 재협상",IF(J19&lt;0.15,"유지","확대 후보"))))</f>
        <v/>
      </c>
    </row>
    <row r="20">
      <c r="B20" s="13" t="n"/>
      <c r="C20" s="14" t="n"/>
      <c r="D20" s="6" t="n"/>
      <c r="E20" s="6" t="n"/>
      <c r="F20" s="6" t="n"/>
      <c r="G20" s="6" t="n"/>
      <c r="H20" s="6" t="n"/>
      <c r="I20" s="9">
        <f>IF(D20="","",D20-E20-F20-G20-H20)</f>
        <v/>
      </c>
      <c r="J20" s="10">
        <f>IF(N(D20)=0,"",I20/D20)</f>
        <v/>
      </c>
      <c r="K20" s="15">
        <f>IF(N(D20)=0,"",IF(J20&lt;0,"즉시 중단 검토",IF(J20&lt;0.05,"가격·원가 재협상",IF(J20&lt;0.15,"유지","확대 후보"))))</f>
        <v/>
      </c>
    </row>
    <row r="21">
      <c r="B21" s="13" t="n"/>
      <c r="C21" s="14" t="n"/>
      <c r="D21" s="6" t="n"/>
      <c r="E21" s="6" t="n"/>
      <c r="F21" s="6" t="n"/>
      <c r="G21" s="6" t="n"/>
      <c r="H21" s="6" t="n"/>
      <c r="I21" s="9">
        <f>IF(D21="","",D21-E21-F21-G21-H21)</f>
        <v/>
      </c>
      <c r="J21" s="10">
        <f>IF(N(D21)=0,"",I21/D21)</f>
        <v/>
      </c>
      <c r="K21" s="15">
        <f>IF(N(D21)=0,"",IF(J21&lt;0,"즉시 중단 검토",IF(J21&lt;0.05,"가격·원가 재협상",IF(J21&lt;0.15,"유지","확대 후보"))))</f>
        <v/>
      </c>
    </row>
    <row r="22">
      <c r="B22" s="13" t="n"/>
      <c r="C22" s="14" t="n"/>
      <c r="D22" s="6" t="n"/>
      <c r="E22" s="6" t="n"/>
      <c r="F22" s="6" t="n"/>
      <c r="G22" s="6" t="n"/>
      <c r="H22" s="6" t="n"/>
      <c r="I22" s="9">
        <f>IF(D22="","",D22-E22-F22-G22-H22)</f>
        <v/>
      </c>
      <c r="J22" s="10">
        <f>IF(N(D22)=0,"",I22/D22)</f>
        <v/>
      </c>
      <c r="K22" s="15">
        <f>IF(N(D22)=0,"",IF(J22&lt;0,"즉시 중단 검토",IF(J22&lt;0.05,"가격·원가 재협상",IF(J22&lt;0.15,"유지","확대 후보"))))</f>
        <v/>
      </c>
    </row>
    <row r="23">
      <c r="B23" s="13" t="n"/>
      <c r="C23" s="14" t="n"/>
      <c r="D23" s="6" t="n"/>
      <c r="E23" s="6" t="n"/>
      <c r="F23" s="6" t="n"/>
      <c r="G23" s="6" t="n"/>
      <c r="H23" s="6" t="n"/>
      <c r="I23" s="9">
        <f>IF(D23="","",D23-E23-F23-G23-H23)</f>
        <v/>
      </c>
      <c r="J23" s="10">
        <f>IF(N(D23)=0,"",I23/D23)</f>
        <v/>
      </c>
      <c r="K23" s="15">
        <f>IF(N(D23)=0,"",IF(J23&lt;0,"즉시 중단 검토",IF(J23&lt;0.05,"가격·원가 재협상",IF(J23&lt;0.15,"유지","확대 후보"))))</f>
        <v/>
      </c>
    </row>
    <row r="24">
      <c r="B24" s="13" t="n"/>
      <c r="C24" s="14" t="n"/>
      <c r="D24" s="6" t="n"/>
      <c r="E24" s="6" t="n"/>
      <c r="F24" s="6" t="n"/>
      <c r="G24" s="6" t="n"/>
      <c r="H24" s="6" t="n"/>
      <c r="I24" s="9">
        <f>IF(D24="","",D24-E24-F24-G24-H24)</f>
        <v/>
      </c>
      <c r="J24" s="10">
        <f>IF(N(D24)=0,"",I24/D24)</f>
        <v/>
      </c>
      <c r="K24" s="15">
        <f>IF(N(D24)=0,"",IF(J24&lt;0,"즉시 중단 검토",IF(J24&lt;0.05,"가격·원가 재협상",IF(J24&lt;0.15,"유지","확대 후보"))))</f>
        <v/>
      </c>
    </row>
    <row r="25">
      <c r="B25" s="13" t="n"/>
      <c r="C25" s="14" t="n"/>
      <c r="D25" s="6" t="n"/>
      <c r="E25" s="6" t="n"/>
      <c r="F25" s="6" t="n"/>
      <c r="G25" s="6" t="n"/>
      <c r="H25" s="6" t="n"/>
      <c r="I25" s="9">
        <f>IF(D25="","",D25-E25-F25-G25-H25)</f>
        <v/>
      </c>
      <c r="J25" s="10">
        <f>IF(N(D25)=0,"",I25/D25)</f>
        <v/>
      </c>
      <c r="K25" s="15">
        <f>IF(N(D25)=0,"",IF(J25&lt;0,"즉시 중단 검토",IF(J25&lt;0.05,"가격·원가 재협상",IF(J25&lt;0.15,"유지","확대 후보"))))</f>
        <v/>
      </c>
    </row>
    <row r="26">
      <c r="B26" s="13" t="n"/>
      <c r="C26" s="14" t="n"/>
      <c r="D26" s="6" t="n"/>
      <c r="E26" s="6" t="n"/>
      <c r="F26" s="6" t="n"/>
      <c r="G26" s="6" t="n"/>
      <c r="H26" s="6" t="n"/>
      <c r="I26" s="9">
        <f>IF(D26="","",D26-E26-F26-G26-H26)</f>
        <v/>
      </c>
      <c r="J26" s="10">
        <f>IF(N(D26)=0,"",I26/D26)</f>
        <v/>
      </c>
      <c r="K26" s="15">
        <f>IF(N(D26)=0,"",IF(J26&lt;0,"즉시 중단 검토",IF(J26&lt;0.05,"가격·원가 재협상",IF(J26&lt;0.15,"유지","확대 후보"))))</f>
        <v/>
      </c>
    </row>
    <row r="27">
      <c r="B27" s="13" t="n"/>
      <c r="C27" s="14" t="n"/>
      <c r="D27" s="6" t="n"/>
      <c r="E27" s="6" t="n"/>
      <c r="F27" s="6" t="n"/>
      <c r="G27" s="6" t="n"/>
      <c r="H27" s="6" t="n"/>
      <c r="I27" s="9">
        <f>IF(D27="","",D27-E27-F27-G27-H27)</f>
        <v/>
      </c>
      <c r="J27" s="10">
        <f>IF(N(D27)=0,"",I27/D27)</f>
        <v/>
      </c>
      <c r="K27" s="15">
        <f>IF(N(D27)=0,"",IF(J27&lt;0,"즉시 중단 검토",IF(J27&lt;0.05,"가격·원가 재협상",IF(J27&lt;0.15,"유지","확대 후보"))))</f>
        <v/>
      </c>
    </row>
    <row r="28">
      <c r="B28" s="13" t="n"/>
      <c r="C28" s="14" t="n"/>
      <c r="D28" s="6" t="n"/>
      <c r="E28" s="6" t="n"/>
      <c r="F28" s="6" t="n"/>
      <c r="G28" s="6" t="n"/>
      <c r="H28" s="6" t="n"/>
      <c r="I28" s="9">
        <f>IF(D28="","",D28-E28-F28-G28-H28)</f>
        <v/>
      </c>
      <c r="J28" s="10">
        <f>IF(N(D28)=0,"",I28/D28)</f>
        <v/>
      </c>
      <c r="K28" s="15">
        <f>IF(N(D28)=0,"",IF(J28&lt;0,"즉시 중단 검토",IF(J28&lt;0.05,"가격·원가 재협상",IF(J28&lt;0.15,"유지","확대 후보"))))</f>
        <v/>
      </c>
    </row>
    <row r="29">
      <c r="B29" s="13" t="n"/>
      <c r="C29" s="14" t="n"/>
      <c r="D29" s="6" t="n"/>
      <c r="E29" s="6" t="n"/>
      <c r="F29" s="6" t="n"/>
      <c r="G29" s="6" t="n"/>
      <c r="H29" s="6" t="n"/>
      <c r="I29" s="9">
        <f>IF(D29="","",D29-E29-F29-G29-H29)</f>
        <v/>
      </c>
      <c r="J29" s="10">
        <f>IF(N(D29)=0,"",I29/D29)</f>
        <v/>
      </c>
      <c r="K29" s="15">
        <f>IF(N(D29)=0,"",IF(J29&lt;0,"즉시 중단 검토",IF(J29&lt;0.05,"가격·원가 재협상",IF(J29&lt;0.15,"유지","확대 후보"))))</f>
        <v/>
      </c>
    </row>
    <row r="30">
      <c r="B30" s="13" t="n"/>
      <c r="C30" s="14" t="n"/>
      <c r="D30" s="6" t="n"/>
      <c r="E30" s="6" t="n"/>
      <c r="F30" s="6" t="n"/>
      <c r="G30" s="6" t="n"/>
      <c r="H30" s="6" t="n"/>
      <c r="I30" s="9">
        <f>IF(D30="","",D30-E30-F30-G30-H30)</f>
        <v/>
      </c>
      <c r="J30" s="10">
        <f>IF(N(D30)=0,"",I30/D30)</f>
        <v/>
      </c>
      <c r="K30" s="15">
        <f>IF(N(D30)=0,"",IF(J30&lt;0,"즉시 중단 검토",IF(J30&lt;0.05,"가격·원가 재협상",IF(J30&lt;0.15,"유지","확대 후보"))))</f>
        <v/>
      </c>
    </row>
    <row r="31">
      <c r="B31" s="13" t="n"/>
      <c r="C31" s="14" t="n"/>
      <c r="D31" s="6" t="n"/>
      <c r="E31" s="6" t="n"/>
      <c r="F31" s="6" t="n"/>
      <c r="G31" s="6" t="n"/>
      <c r="H31" s="6" t="n"/>
      <c r="I31" s="9">
        <f>IF(D31="","",D31-E31-F31-G31-H31)</f>
        <v/>
      </c>
      <c r="J31" s="10">
        <f>IF(N(D31)=0,"",I31/D31)</f>
        <v/>
      </c>
      <c r="K31" s="15">
        <f>IF(N(D31)=0,"",IF(J31&lt;0,"즉시 중단 검토",IF(J31&lt;0.05,"가격·원가 재협상",IF(J31&lt;0.15,"유지","확대 후보"))))</f>
        <v/>
      </c>
    </row>
    <row r="32">
      <c r="B32" s="13" t="n"/>
      <c r="C32" s="14" t="n"/>
      <c r="D32" s="6" t="n"/>
      <c r="E32" s="6" t="n"/>
      <c r="F32" s="6" t="n"/>
      <c r="G32" s="6" t="n"/>
      <c r="H32" s="6" t="n"/>
      <c r="I32" s="9">
        <f>IF(D32="","",D32-E32-F32-G32-H32)</f>
        <v/>
      </c>
      <c r="J32" s="10">
        <f>IF(N(D32)=0,"",I32/D32)</f>
        <v/>
      </c>
      <c r="K32" s="15">
        <f>IF(N(D32)=0,"",IF(J32&lt;0,"즉시 중단 검토",IF(J32&lt;0.05,"가격·원가 재협상",IF(J32&lt;0.15,"유지","확대 후보"))))</f>
        <v/>
      </c>
    </row>
    <row r="33">
      <c r="B33" s="13" t="n"/>
      <c r="C33" s="14" t="n"/>
      <c r="D33" s="6" t="n"/>
      <c r="E33" s="6" t="n"/>
      <c r="F33" s="6" t="n"/>
      <c r="G33" s="6" t="n"/>
      <c r="H33" s="6" t="n"/>
      <c r="I33" s="9">
        <f>IF(D33="","",D33-E33-F33-G33-H33)</f>
        <v/>
      </c>
      <c r="J33" s="10">
        <f>IF(N(D33)=0,"",I33/D33)</f>
        <v/>
      </c>
      <c r="K33" s="15">
        <f>IF(N(D33)=0,"",IF(J33&lt;0,"즉시 중단 검토",IF(J33&lt;0.05,"가격·원가 재협상",IF(J33&lt;0.15,"유지","확대 후보"))))</f>
        <v/>
      </c>
    </row>
    <row r="34">
      <c r="B34" s="13" t="n"/>
      <c r="C34" s="14" t="n"/>
      <c r="D34" s="6" t="n"/>
      <c r="E34" s="6" t="n"/>
      <c r="F34" s="6" t="n"/>
      <c r="G34" s="6" t="n"/>
      <c r="H34" s="6" t="n"/>
      <c r="I34" s="9">
        <f>IF(D34="","",D34-E34-F34-G34-H34)</f>
        <v/>
      </c>
      <c r="J34" s="10">
        <f>IF(N(D34)=0,"",I34/D34)</f>
        <v/>
      </c>
      <c r="K34" s="15">
        <f>IF(N(D34)=0,"",IF(J34&lt;0,"즉시 중단 검토",IF(J34&lt;0.05,"가격·원가 재협상",IF(J34&lt;0.15,"유지","확대 후보"))))</f>
        <v/>
      </c>
    </row>
    <row r="35">
      <c r="B35" s="13" t="n"/>
      <c r="C35" s="14" t="n"/>
      <c r="D35" s="6" t="n"/>
      <c r="E35" s="6" t="n"/>
      <c r="F35" s="6" t="n"/>
      <c r="G35" s="6" t="n"/>
      <c r="H35" s="6" t="n"/>
      <c r="I35" s="9">
        <f>IF(D35="","",D35-E35-F35-G35-H35)</f>
        <v/>
      </c>
      <c r="J35" s="10">
        <f>IF(N(D35)=0,"",I35/D35)</f>
        <v/>
      </c>
      <c r="K35" s="15">
        <f>IF(N(D35)=0,"",IF(J35&lt;0,"즉시 중단 검토",IF(J35&lt;0.05,"가격·원가 재협상",IF(J35&lt;0.15,"유지","확대 후보"))))</f>
        <v/>
      </c>
    </row>
    <row r="36">
      <c r="B36" s="13" t="n"/>
      <c r="C36" s="14" t="n"/>
      <c r="D36" s="6" t="n"/>
      <c r="E36" s="6" t="n"/>
      <c r="F36" s="6" t="n"/>
      <c r="G36" s="6" t="n"/>
      <c r="H36" s="6" t="n"/>
      <c r="I36" s="9">
        <f>IF(D36="","",D36-E36-F36-G36-H36)</f>
        <v/>
      </c>
      <c r="J36" s="10">
        <f>IF(N(D36)=0,"",I36/D36)</f>
        <v/>
      </c>
      <c r="K36" s="15">
        <f>IF(N(D36)=0,"",IF(J36&lt;0,"즉시 중단 검토",IF(J36&lt;0.05,"가격·원가 재협상",IF(J36&lt;0.15,"유지","확대 후보"))))</f>
        <v/>
      </c>
    </row>
    <row r="37">
      <c r="B37" s="13" t="n"/>
      <c r="C37" s="14" t="n"/>
      <c r="D37" s="6" t="n"/>
      <c r="E37" s="6" t="n"/>
      <c r="F37" s="6" t="n"/>
      <c r="G37" s="6" t="n"/>
      <c r="H37" s="6" t="n"/>
      <c r="I37" s="9">
        <f>IF(D37="","",D37-E37-F37-G37-H37)</f>
        <v/>
      </c>
      <c r="J37" s="10">
        <f>IF(N(D37)=0,"",I37/D37)</f>
        <v/>
      </c>
      <c r="K37" s="15">
        <f>IF(N(D37)=0,"",IF(J37&lt;0,"즉시 중단 검토",IF(J37&lt;0.05,"가격·원가 재협상",IF(J37&lt;0.15,"유지","확대 후보"))))</f>
        <v/>
      </c>
    </row>
    <row r="38">
      <c r="B38" s="13" t="n"/>
      <c r="C38" s="14" t="n"/>
      <c r="D38" s="6" t="n"/>
      <c r="E38" s="6" t="n"/>
      <c r="F38" s="6" t="n"/>
      <c r="G38" s="6" t="n"/>
      <c r="H38" s="6" t="n"/>
      <c r="I38" s="9">
        <f>IF(D38="","",D38-E38-F38-G38-H38)</f>
        <v/>
      </c>
      <c r="J38" s="10">
        <f>IF(N(D38)=0,"",I38/D38)</f>
        <v/>
      </c>
      <c r="K38" s="15">
        <f>IF(N(D38)=0,"",IF(J38&lt;0,"즉시 중단 검토",IF(J38&lt;0.05,"가격·원가 재협상",IF(J38&lt;0.15,"유지","확대 후보"))))</f>
        <v/>
      </c>
    </row>
    <row r="39">
      <c r="B39" s="13" t="n"/>
      <c r="C39" s="14" t="n"/>
      <c r="D39" s="6" t="n"/>
      <c r="E39" s="6" t="n"/>
      <c r="F39" s="6" t="n"/>
      <c r="G39" s="6" t="n"/>
      <c r="H39" s="6" t="n"/>
      <c r="I39" s="9">
        <f>IF(D39="","",D39-E39-F39-G39-H39)</f>
        <v/>
      </c>
      <c r="J39" s="10">
        <f>IF(N(D39)=0,"",I39/D39)</f>
        <v/>
      </c>
      <c r="K39" s="15">
        <f>IF(N(D39)=0,"",IF(J39&lt;0,"즉시 중단 검토",IF(J39&lt;0.05,"가격·원가 재협상",IF(J39&lt;0.15,"유지","확대 후보"))))</f>
        <v/>
      </c>
    </row>
    <row r="40">
      <c r="B40" s="13" t="n"/>
      <c r="C40" s="14" t="n"/>
      <c r="D40" s="6" t="n"/>
      <c r="E40" s="6" t="n"/>
      <c r="F40" s="6" t="n"/>
      <c r="G40" s="6" t="n"/>
      <c r="H40" s="6" t="n"/>
      <c r="I40" s="9">
        <f>IF(D40="","",D40-E40-F40-G40-H40)</f>
        <v/>
      </c>
      <c r="J40" s="10">
        <f>IF(N(D40)=0,"",I40/D40)</f>
        <v/>
      </c>
      <c r="K40" s="15">
        <f>IF(N(D40)=0,"",IF(J40&lt;0,"즉시 중단 검토",IF(J40&lt;0.05,"가격·원가 재협상",IF(J40&lt;0.15,"유지","확대 후보"))))</f>
        <v/>
      </c>
    </row>
    <row r="41">
      <c r="B41" s="13" t="n"/>
      <c r="C41" s="14" t="n"/>
      <c r="D41" s="6" t="n"/>
      <c r="E41" s="6" t="n"/>
      <c r="F41" s="6" t="n"/>
      <c r="G41" s="6" t="n"/>
      <c r="H41" s="6" t="n"/>
      <c r="I41" s="9">
        <f>IF(D41="","",D41-E41-F41-G41-H41)</f>
        <v/>
      </c>
      <c r="J41" s="10">
        <f>IF(N(D41)=0,"",I41/D41)</f>
        <v/>
      </c>
      <c r="K41" s="15">
        <f>IF(N(D41)=0,"",IF(J41&lt;0,"즉시 중단 검토",IF(J41&lt;0.05,"가격·원가 재협상",IF(J41&lt;0.15,"유지","확대 후보"))))</f>
        <v/>
      </c>
    </row>
    <row r="42">
      <c r="B42" s="13" t="n"/>
      <c r="C42" s="14" t="n"/>
      <c r="D42" s="6" t="n"/>
      <c r="E42" s="6" t="n"/>
      <c r="F42" s="6" t="n"/>
      <c r="G42" s="6" t="n"/>
      <c r="H42" s="6" t="n"/>
      <c r="I42" s="9">
        <f>IF(D42="","",D42-E42-F42-G42-H42)</f>
        <v/>
      </c>
      <c r="J42" s="10">
        <f>IF(N(D42)=0,"",I42/D42)</f>
        <v/>
      </c>
      <c r="K42" s="15">
        <f>IF(N(D42)=0,"",IF(J42&lt;0,"즉시 중단 검토",IF(J42&lt;0.05,"가격·원가 재협상",IF(J42&lt;0.15,"유지","확대 후보"))))</f>
        <v/>
      </c>
    </row>
    <row r="43">
      <c r="B43" s="13" t="n"/>
      <c r="C43" s="14" t="n"/>
      <c r="D43" s="6" t="n"/>
      <c r="E43" s="6" t="n"/>
      <c r="F43" s="6" t="n"/>
      <c r="G43" s="6" t="n"/>
      <c r="H43" s="6" t="n"/>
      <c r="I43" s="9">
        <f>IF(D43="","",D43-E43-F43-G43-H43)</f>
        <v/>
      </c>
      <c r="J43" s="10">
        <f>IF(N(D43)=0,"",I43/D43)</f>
        <v/>
      </c>
      <c r="K43" s="15">
        <f>IF(N(D43)=0,"",IF(J43&lt;0,"즉시 중단 검토",IF(J43&lt;0.05,"가격·원가 재협상",IF(J43&lt;0.15,"유지","확대 후보"))))</f>
        <v/>
      </c>
    </row>
    <row r="44">
      <c r="B44" s="13" t="n"/>
      <c r="C44" s="14" t="n"/>
      <c r="D44" s="6" t="n"/>
      <c r="E44" s="6" t="n"/>
      <c r="F44" s="6" t="n"/>
      <c r="G44" s="6" t="n"/>
      <c r="H44" s="6" t="n"/>
      <c r="I44" s="9">
        <f>IF(D44="","",D44-E44-F44-G44-H44)</f>
        <v/>
      </c>
      <c r="J44" s="10">
        <f>IF(N(D44)=0,"",I44/D44)</f>
        <v/>
      </c>
      <c r="K44" s="15">
        <f>IF(N(D44)=0,"",IF(J44&lt;0,"즉시 중단 검토",IF(J44&lt;0.05,"가격·원가 재협상",IF(J44&lt;0.15,"유지","확대 후보"))))</f>
        <v/>
      </c>
    </row>
    <row r="45">
      <c r="B45" s="13" t="n"/>
      <c r="C45" s="14" t="n"/>
      <c r="D45" s="6" t="n"/>
      <c r="E45" s="6" t="n"/>
      <c r="F45" s="6" t="n"/>
      <c r="G45" s="6" t="n"/>
      <c r="H45" s="6" t="n"/>
      <c r="I45" s="9">
        <f>IF(D45="","",D45-E45-F45-G45-H45)</f>
        <v/>
      </c>
      <c r="J45" s="10">
        <f>IF(N(D45)=0,"",I45/D45)</f>
        <v/>
      </c>
      <c r="K45" s="15">
        <f>IF(N(D45)=0,"",IF(J45&lt;0,"즉시 중단 검토",IF(J45&lt;0.05,"가격·원가 재협상",IF(J45&lt;0.15,"유지","확대 후보"))))</f>
        <v/>
      </c>
    </row>
    <row r="47">
      <c r="B47" s="8" t="inlineStr">
        <is>
          <t>합계</t>
        </is>
      </c>
      <c r="C47" s="16">
        <f>SUM(C6:C45)</f>
        <v/>
      </c>
      <c r="D47" s="17">
        <f>SUM(D6:D45)</f>
        <v/>
      </c>
      <c r="E47" s="17">
        <f>SUM(E6:E45)</f>
        <v/>
      </c>
      <c r="F47" s="17">
        <f>SUM(F6:F45)</f>
        <v/>
      </c>
      <c r="G47" s="17">
        <f>SUM(G6:G45)</f>
        <v/>
      </c>
      <c r="H47" s="17">
        <f>SUM(H6:H45)</f>
        <v/>
      </c>
      <c r="I47" s="17">
        <f>SUM(I6:I45)</f>
        <v/>
      </c>
      <c r="J47" s="18">
        <f>IF(N(D47)=0,"",I47/D47)</f>
        <v/>
      </c>
      <c r="K47" s="19" t="n"/>
    </row>
    <row r="49">
      <c r="B49" s="20" t="inlineStr">
        <is>
          <t>적자 SKU 개수</t>
        </is>
      </c>
      <c r="C49" s="21">
        <f>COUNTIF(J6:J45,"&lt;0")</f>
        <v/>
      </c>
    </row>
    <row r="50">
      <c r="B50" s="20" t="inlineStr">
        <is>
          <t>적자 SKU 손실 합계</t>
        </is>
      </c>
      <c r="C50" s="22">
        <f>SUMIF(I6:I45,"&lt;0")</f>
        <v/>
      </c>
    </row>
    <row r="51">
      <c r="B51" s="20" t="inlineStr">
        <is>
          <t>적자 SKU를 전부 끊었을 때 이익률</t>
        </is>
      </c>
      <c r="C51" s="23">
        <f>IF(N(D47)=0,"",(I47-C50)/D47)</f>
        <v/>
      </c>
    </row>
    <row r="53">
      <c r="B53" s="3" t="inlineStr">
        <is>
          <t>※ 공헌이익 = 매출 − 매입원가 − 수수료 − 광고비 − 배송비. 임대료·인건비 같은 고정비는 제외한 값이므로, 이 값이 음수면 팔수록 손해다.</t>
        </is>
      </c>
    </row>
  </sheetData>
  <mergeCells count="3">
    <mergeCell ref="B53:K53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2" ht="26" customHeight="1">
      <c r="B2" s="1" t="inlineStr">
        <is>
          <t>업종 전환 비교 — 1인당 연 이익 기준</t>
        </is>
      </c>
    </row>
    <row r="3">
      <c r="B3" s="3" t="inlineStr">
        <is>
          <t>총액이 아니라 '1인당'으로 비교해야 한다. 청소업은 총액이 커 보여도 사람 수로 나누면 줄어든다.</t>
        </is>
      </c>
    </row>
    <row r="5">
      <c r="B5" s="24" t="inlineStr">
        <is>
          <t>대안</t>
        </is>
      </c>
      <c r="C5" s="24" t="inlineStr">
        <is>
          <t>연 이익</t>
        </is>
      </c>
      <c r="D5" s="24" t="inlineStr">
        <is>
          <t>투입 인원</t>
        </is>
      </c>
      <c r="E5" s="24" t="inlineStr">
        <is>
          <t>1인당 연 이익</t>
        </is>
      </c>
      <c r="F5" s="24" t="inlineStr">
        <is>
          <t>근거</t>
        </is>
      </c>
    </row>
    <row r="6">
      <c r="B6" s="5" t="inlineStr">
        <is>
          <t>현재 이커머스</t>
        </is>
      </c>
      <c r="C6" s="25">
        <f>'1_빠른진단'!C22</f>
        <v/>
      </c>
      <c r="D6" s="26" t="n">
        <v>1</v>
      </c>
      <c r="E6" s="9">
        <f>IF(N(D6)=0,"",C6/D6)</f>
        <v/>
      </c>
      <c r="F6" s="7" t="inlineStr">
        <is>
          <t>1번 탭 자동 연동</t>
        </is>
      </c>
    </row>
    <row r="7">
      <c r="B7" s="5" t="inlineStr">
        <is>
          <t>인천 학교저수조 (기준 연40건)</t>
        </is>
      </c>
      <c r="C7" s="27" t="n">
        <v>7990000</v>
      </c>
      <c r="D7" s="26" t="n">
        <v>2</v>
      </c>
      <c r="E7" s="9">
        <f>IF(N(D7)=0,"",C7/D7)</f>
        <v/>
      </c>
      <c r="F7" s="7" t="inlineStr">
        <is>
          <t>인천 948건 실측 · 건당 36.3만</t>
        </is>
      </c>
    </row>
    <row r="8">
      <c r="B8" s="5" t="inlineStr">
        <is>
          <t>인천 학교저수조 (시장1위 연100건)</t>
        </is>
      </c>
      <c r="C8" s="27" t="n">
        <v>19960000</v>
      </c>
      <c r="D8" s="26" t="n">
        <v>2</v>
      </c>
      <c r="E8" s="9">
        <f>IF(N(D8)=0,"",C8/D8)</f>
        <v/>
      </c>
      <c r="F8" s="7" t="inlineStr">
        <is>
          <t>1위 대신환경방역 59건 기준 환산</t>
        </is>
      </c>
    </row>
    <row r="9">
      <c r="B9" s="5" t="inlineStr">
        <is>
          <t>경남식 권역묶음 (연4건)</t>
        </is>
      </c>
      <c r="C9" s="27" t="n">
        <v>51830000</v>
      </c>
      <c r="D9" s="26" t="n">
        <v>2</v>
      </c>
      <c r="E9" s="9">
        <f>IF(N(D9)=0,"",C9/D9)</f>
        <v/>
      </c>
      <c r="F9" s="7" t="inlineStr">
        <is>
          <t>경남 묶음 2,356만원 × 4건 · 수도권 해당없음</t>
        </is>
      </c>
    </row>
    <row r="11">
      <c r="B11" s="2" t="inlineStr">
        <is>
          <t>판정</t>
        </is>
      </c>
    </row>
    <row r="12" ht="34" customHeight="1">
      <c r="B12" s="11">
        <f>IF(N(E6)=0,"1번 탭을 먼저 채우세요.",IF(E6&gt;=E8,"이커머스 유지 — 1인당 이익이 청소업 시장 1위 수준을 이미 넘는다. 전환은 손해다.",IF(E6&gt;=E7,"이커머스 우세 — 청소업 기준 시나리오보다 낫다. 개선에 집중하라.","이커머스 열세 — 다만 청소업으로 옮겨도 1인당 이익 상한이 낮다. 전환보다 제3의 대안을 찾아야 한다.")))</f>
        <v/>
      </c>
    </row>
    <row r="14">
      <c r="B14" s="2" t="inlineStr">
        <is>
          <t>이 표가 말하지 않는 것</t>
        </is>
      </c>
    </row>
    <row r="15">
      <c r="B15" s="3" t="inlineStr">
        <is>
          <t>· 청소업 수치는 '수주에 성공했을 때'의 값이다. 신규 진입자가 연 40건을 딸 수 있다는 보장은 없다.</t>
        </is>
      </c>
    </row>
    <row r="16">
      <c r="B16" s="3" t="inlineStr">
        <is>
          <t>· 인천은 1인수의계약이 99.3%다. 입찰이 아니라 학교 담당자에게 직접 도달해야 수주가 된다.</t>
        </is>
      </c>
    </row>
    <row r="17">
      <c r="B17" s="3" t="inlineStr">
        <is>
          <t>· 저수조 청소는 밀폐공간 작업이다. 질식재해 원인 1위가 황화수소(28.4%)이며 여름에 집중된다.</t>
        </is>
      </c>
    </row>
    <row r="18">
      <c r="B18" s="3" t="inlineStr">
        <is>
          <t>· 이커머스 값에 본인 인건비를 넣지 않았다면, 그 이익에는 이미 내 노동이 공짜로 들어가 있다.</t>
        </is>
      </c>
    </row>
    <row r="19">
      <c r="B19" s="3" t="inlineStr">
        <is>
          <t>· 색 규칙: 파란 글씨=직접 입력 · 검은 글씨=수식 · 초록 글씨=다른 탭 참조 · 노란 칸=채울 곳.</t>
        </is>
      </c>
    </row>
  </sheetData>
  <mergeCells count="8">
    <mergeCell ref="B12:F12"/>
    <mergeCell ref="B2:F2"/>
    <mergeCell ref="B16:F16"/>
    <mergeCell ref="B15:F15"/>
    <mergeCell ref="B3:F3"/>
    <mergeCell ref="B19:F19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2026-08-15T15:59:37Z</dcterms:created>
  <dcterms:modified xsi:type="dcterms:W3CDTF">2026-08-15T15:59:37Z</dcterms:modified>
</cp:coreProperties>
</file>