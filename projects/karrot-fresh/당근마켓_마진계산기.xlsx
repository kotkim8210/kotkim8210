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성주참외" sheetId="2" state="visible" r:id="rId2"/>
    <sheet name="대극천복숭아" sheetId="3" state="visible" r:id="rId3"/>
    <sheet name="미니밤호박(보우짱)" sheetId="4" state="visible" r:id="rId4"/>
    <sheet name="홍감자" sheetId="5" state="visible" r:id="rId5"/>
    <sheet name="콜라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color rgb="00808080"/>
      <sz val="9"/>
    </font>
    <font>
      <color rgb="00548235"/>
      <sz val="9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A9D08E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0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2" fillId="8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52" customWidth="1" min="3" max="3"/>
  </cols>
  <sheetData>
    <row r="1" ht="24" customHeight="1">
      <c r="A1" s="1" t="inlineStr">
        <is>
          <t>🥕 당근 마진계산기 — 설정</t>
        </is>
      </c>
    </row>
    <row r="3">
      <c r="A3" s="2" t="inlineStr">
        <is>
          <t>광고비 (원/일)</t>
        </is>
      </c>
      <c r="B3" s="3" t="n">
        <v>40000</v>
      </c>
      <c r="C3" s="4" t="inlineStr">
        <is>
          <t>하루 광고예산 3~5만원</t>
        </is>
      </c>
    </row>
    <row r="4">
      <c r="A4" s="2" t="inlineStr">
        <is>
          <t>예상 일 판매건수 (건/일)</t>
        </is>
      </c>
      <c r="B4" s="5" t="n">
        <v>20</v>
      </c>
      <c r="C4" s="4" t="inlineStr">
        <is>
          <t>이 광고로 하루 몇 건 팔지 가정</t>
        </is>
      </c>
    </row>
    <row r="5">
      <c r="A5" s="2" t="inlineStr">
        <is>
          <t>→ 건당 광고비 (자동)</t>
        </is>
      </c>
      <c r="B5" s="6">
        <f>B3/B4</f>
        <v/>
      </c>
      <c r="C5" s="4" t="inlineStr">
        <is>
          <t>광고비÷판매건수</t>
        </is>
      </c>
    </row>
    <row r="6">
      <c r="A6" s="2" t="inlineStr">
        <is>
          <t>당근 판매수수료율</t>
        </is>
      </c>
      <c r="B6" s="7" t="n">
        <v>0.033</v>
      </c>
      <c r="C6" s="4" t="inlineStr">
        <is>
          <t>당근페이/비즈 결제수수료 3.3%</t>
        </is>
      </c>
    </row>
    <row r="7">
      <c r="A7" s="2" t="inlineStr">
        <is>
          <t>목표 최소 마진율</t>
        </is>
      </c>
      <c r="B7" s="7" t="n">
        <v>0.15</v>
      </c>
      <c r="C7" s="4" t="inlineStr">
        <is>
          <t>이 아래로는 권장가 안 내려감</t>
        </is>
      </c>
    </row>
    <row r="8">
      <c r="A8" s="8" t="inlineStr"/>
    </row>
    <row r="9">
      <c r="A9" s="2" t="inlineStr">
        <is>
          <t>── 사용법 ──────────────────────</t>
        </is>
      </c>
    </row>
    <row r="10">
      <c r="A10" s="8" t="inlineStr">
        <is>
          <t>• 공급가='택배비·박스포장 포함'(직출고). 추가비용 = 건당광고비 + 당근수수료 3.3%.</t>
        </is>
      </c>
    </row>
    <row r="11">
      <c r="A11" s="8" t="inlineStr">
        <is>
          <t>• 마진 = 판매가×(1-3.3%) − 공급가 − 광고비.</t>
        </is>
      </c>
    </row>
    <row r="12">
      <c r="A12" s="8" t="inlineStr">
        <is>
          <t>• 당근권장가 = 시세에 맞추되, [원가+광고]를 (1-수수료-목표마진)으로 나눈 값 밑으론 안 내려감 = 손해 0.</t>
        </is>
      </c>
    </row>
    <row r="13">
      <c r="A13" s="8" t="inlineStr">
        <is>
          <t>• '마진' 빨강(음수)·'⚠️시세&lt;손익분기' = 시세론 손해 → 등급↑/대용량으로.</t>
        </is>
      </c>
    </row>
    <row r="14">
      <c r="A14" s="8" t="inlineStr">
        <is>
          <t>• 일 판매건수↑ → 건당광고비↓ → 마진↑ (광고효율이 핵심 레버).</t>
        </is>
      </c>
    </row>
    <row r="15">
      <c r="A15" s="8" t="inlineStr"/>
    </row>
    <row r="16">
      <c r="A16" s="2" t="inlineStr">
        <is>
          <t>🟩공급가=실제 매입가(사진)  🟦시세=쿠팡/오아시스  🟧권장판매가  🟡노랑=조정칸</t>
        </is>
      </c>
    </row>
  </sheetData>
  <mergeCells count="10">
    <mergeCell ref="A10:C10"/>
    <mergeCell ref="A13:C13"/>
    <mergeCell ref="A11:C11"/>
    <mergeCell ref="A1:C1"/>
    <mergeCell ref="A8:C8"/>
    <mergeCell ref="A14:C14"/>
    <mergeCell ref="A9:C9"/>
    <mergeCell ref="A12:C12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성주참외 — 당근 마진계산 (수수료 3.3% 반영)</t>
        </is>
      </c>
    </row>
    <row r="2">
      <c r="A2" s="9" t="inlineStr">
        <is>
          <t>🟩공급가 실측(사진,롯데택배·박스포장 완충제 포함). 시세=쿠팡 시장조사. 실중량 2kg→1.5/3kg→2.5/5kg→4.5/10kg→9kg.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/>
      <c r="D4" s="12" t="n">
        <v>4800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12900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1.5kg</t>
        </is>
      </c>
      <c r="D5" s="12" t="n">
        <v>5900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21900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로얄과</t>
        </is>
      </c>
      <c r="B6" s="11" t="inlineStr">
        <is>
          <t>3kg</t>
        </is>
      </c>
      <c r="C6" s="11" t="inlineStr">
        <is>
          <t>2.5kg</t>
        </is>
      </c>
      <c r="D6" s="12" t="n">
        <v>7350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26900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로얄과</t>
        </is>
      </c>
      <c r="B7" s="11" t="inlineStr">
        <is>
          <t>5kg</t>
        </is>
      </c>
      <c r="C7" s="11" t="inlineStr">
        <is>
          <t>4.5kg</t>
        </is>
      </c>
      <c r="D7" s="12" t="n">
        <v>10500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38800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로얄과</t>
        </is>
      </c>
      <c r="B8" s="11" t="inlineStr">
        <is>
          <t>10kg</t>
        </is>
      </c>
      <c r="C8" s="11" t="inlineStr">
        <is>
          <t>9kg</t>
        </is>
      </c>
      <c r="D8" s="12" t="n">
        <v>16900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59000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소과</t>
        </is>
      </c>
      <c r="B9" s="11" t="inlineStr">
        <is>
          <t>1kg</t>
        </is>
      </c>
      <c r="C9" s="11" t="inlineStr"/>
      <c r="D9" s="12" t="n">
        <v>4600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10900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소과</t>
        </is>
      </c>
      <c r="B10" s="11" t="inlineStr">
        <is>
          <t>2kg</t>
        </is>
      </c>
      <c r="C10" s="11" t="inlineStr">
        <is>
          <t>1.5kg</t>
        </is>
      </c>
      <c r="D10" s="12" t="n">
        <v>5600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18900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1" t="inlineStr">
        <is>
          <t>소과</t>
        </is>
      </c>
      <c r="B11" s="11" t="inlineStr">
        <is>
          <t>3kg</t>
        </is>
      </c>
      <c r="C11" s="11" t="inlineStr">
        <is>
          <t>2.5kg</t>
        </is>
      </c>
      <c r="D11" s="12" t="n">
        <v>6850</v>
      </c>
      <c r="E11" s="6">
        <f>'설정'!$B$5</f>
        <v/>
      </c>
      <c r="F11" s="6">
        <f>J11*'설정'!$B$6</f>
        <v/>
      </c>
      <c r="G11" s="13">
        <f>D11+E11+F11</f>
        <v/>
      </c>
      <c r="H11" s="14" t="n">
        <v>19800</v>
      </c>
      <c r="I11" s="6">
        <f>ROUND((D11+E11)/(1-'설정'!$B$6),-2)</f>
        <v/>
      </c>
      <c r="J11" s="15">
        <f>ROUND(MAX(H11,(D11+E11)/(1-'설정'!$B$6-'설정'!$B$7)),-2)</f>
        <v/>
      </c>
      <c r="K11" s="16">
        <f>J11-G11</f>
        <v/>
      </c>
      <c r="L11" s="17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1" t="inlineStr">
        <is>
          <t>소과</t>
        </is>
      </c>
      <c r="B12" s="11" t="inlineStr">
        <is>
          <t>5kg</t>
        </is>
      </c>
      <c r="C12" s="11" t="inlineStr">
        <is>
          <t>4.5kg</t>
        </is>
      </c>
      <c r="D12" s="12" t="n">
        <v>9600</v>
      </c>
      <c r="E12" s="6">
        <f>'설정'!$B$5</f>
        <v/>
      </c>
      <c r="F12" s="6">
        <f>J12*'설정'!$B$6</f>
        <v/>
      </c>
      <c r="G12" s="13">
        <f>D12+E12+F12</f>
        <v/>
      </c>
      <c r="H12" s="14" t="n">
        <v>32000</v>
      </c>
      <c r="I12" s="6">
        <f>ROUND((D12+E12)/(1-'설정'!$B$6),-2)</f>
        <v/>
      </c>
      <c r="J12" s="15">
        <f>ROUND(MAX(H12,(D12+E12)/(1-'설정'!$B$6-'설정'!$B$7)),-2)</f>
        <v/>
      </c>
      <c r="K12" s="16">
        <f>J12-G12</f>
        <v/>
      </c>
      <c r="L12" s="17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1" t="inlineStr">
        <is>
          <t>소과</t>
        </is>
      </c>
      <c r="B13" s="11" t="inlineStr">
        <is>
          <t>10kg</t>
        </is>
      </c>
      <c r="C13" s="11" t="inlineStr">
        <is>
          <t>9kg</t>
        </is>
      </c>
      <c r="D13" s="12" t="n">
        <v>15900</v>
      </c>
      <c r="E13" s="6">
        <f>'설정'!$B$5</f>
        <v/>
      </c>
      <c r="F13" s="6">
        <f>J13*'설정'!$B$6</f>
        <v/>
      </c>
      <c r="G13" s="13">
        <f>D13+E13+F13</f>
        <v/>
      </c>
      <c r="H13" s="14" t="n">
        <v>53000</v>
      </c>
      <c r="I13" s="6">
        <f>ROUND((D13+E13)/(1-'설정'!$B$6),-2)</f>
        <v/>
      </c>
      <c r="J13" s="15">
        <f>ROUND(MAX(H13,(D13+E13)/(1-'설정'!$B$6-'설정'!$B$7)),-2)</f>
        <v/>
      </c>
      <c r="K13" s="16">
        <f>J13-G13</f>
        <v/>
      </c>
      <c r="L13" s="17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1" t="inlineStr">
        <is>
          <t>가성비혼합</t>
        </is>
      </c>
      <c r="B14" s="11" t="inlineStr">
        <is>
          <t>1kg</t>
        </is>
      </c>
      <c r="C14" s="11" t="inlineStr"/>
      <c r="D14" s="12" t="n">
        <v>4500</v>
      </c>
      <c r="E14" s="6">
        <f>'설정'!$B$5</f>
        <v/>
      </c>
      <c r="F14" s="6">
        <f>J14*'설정'!$B$6</f>
        <v/>
      </c>
      <c r="G14" s="13">
        <f>D14+E14+F14</f>
        <v/>
      </c>
      <c r="H14" s="14" t="n">
        <v>9900</v>
      </c>
      <c r="I14" s="6">
        <f>ROUND((D14+E14)/(1-'설정'!$B$6),-2)</f>
        <v/>
      </c>
      <c r="J14" s="15">
        <f>ROUND(MAX(H14,(D14+E14)/(1-'설정'!$B$6-'설정'!$B$7)),-2)</f>
        <v/>
      </c>
      <c r="K14" s="16">
        <f>J14-G14</f>
        <v/>
      </c>
      <c r="L14" s="17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1" t="inlineStr">
        <is>
          <t>가성비혼합</t>
        </is>
      </c>
      <c r="B15" s="11" t="inlineStr">
        <is>
          <t>2kg</t>
        </is>
      </c>
      <c r="C15" s="11" t="inlineStr">
        <is>
          <t>1.5kg</t>
        </is>
      </c>
      <c r="D15" s="12" t="n">
        <v>5300</v>
      </c>
      <c r="E15" s="6">
        <f>'설정'!$B$5</f>
        <v/>
      </c>
      <c r="F15" s="6">
        <f>J15*'설정'!$B$6</f>
        <v/>
      </c>
      <c r="G15" s="13">
        <f>D15+E15+F15</f>
        <v/>
      </c>
      <c r="H15" s="14" t="n">
        <v>17900</v>
      </c>
      <c r="I15" s="6">
        <f>ROUND((D15+E15)/(1-'설정'!$B$6),-2)</f>
        <v/>
      </c>
      <c r="J15" s="15">
        <f>ROUND(MAX(H15,(D15+E15)/(1-'설정'!$B$6-'설정'!$B$7)),-2)</f>
        <v/>
      </c>
      <c r="K15" s="16">
        <f>J15-G15</f>
        <v/>
      </c>
      <c r="L15" s="17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1" t="inlineStr">
        <is>
          <t>가성비혼합</t>
        </is>
      </c>
      <c r="B16" s="11" t="inlineStr">
        <is>
          <t>3kg</t>
        </is>
      </c>
      <c r="C16" s="11" t="inlineStr">
        <is>
          <t>2.5kg</t>
        </is>
      </c>
      <c r="D16" s="12" t="n">
        <v>6700</v>
      </c>
      <c r="E16" s="6">
        <f>'설정'!$B$5</f>
        <v/>
      </c>
      <c r="F16" s="6">
        <f>J16*'설정'!$B$6</f>
        <v/>
      </c>
      <c r="G16" s="13">
        <f>D16+E16+F16</f>
        <v/>
      </c>
      <c r="H16" s="14" t="n">
        <v>16900</v>
      </c>
      <c r="I16" s="6">
        <f>ROUND((D16+E16)/(1-'설정'!$B$6),-2)</f>
        <v/>
      </c>
      <c r="J16" s="15">
        <f>ROUND(MAX(H16,(D16+E16)/(1-'설정'!$B$6-'설정'!$B$7)),-2)</f>
        <v/>
      </c>
      <c r="K16" s="16">
        <f>J16-G16</f>
        <v/>
      </c>
      <c r="L16" s="17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1" t="inlineStr">
        <is>
          <t>가성비혼합</t>
        </is>
      </c>
      <c r="B17" s="11" t="inlineStr">
        <is>
          <t>5kg</t>
        </is>
      </c>
      <c r="C17" s="11" t="inlineStr">
        <is>
          <t>4.5kg</t>
        </is>
      </c>
      <c r="D17" s="12" t="n">
        <v>8500</v>
      </c>
      <c r="E17" s="6">
        <f>'설정'!$B$5</f>
        <v/>
      </c>
      <c r="F17" s="6">
        <f>J17*'설정'!$B$6</f>
        <v/>
      </c>
      <c r="G17" s="13">
        <f>D17+E17+F17</f>
        <v/>
      </c>
      <c r="H17" s="14" t="n">
        <v>29900</v>
      </c>
      <c r="I17" s="6">
        <f>ROUND((D17+E17)/(1-'설정'!$B$6),-2)</f>
        <v/>
      </c>
      <c r="J17" s="15">
        <f>ROUND(MAX(H17,(D17+E17)/(1-'설정'!$B$6-'설정'!$B$7)),-2)</f>
        <v/>
      </c>
      <c r="K17" s="16">
        <f>J17-G17</f>
        <v/>
      </c>
      <c r="L17" s="17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1" t="inlineStr">
        <is>
          <t>가성비혼합</t>
        </is>
      </c>
      <c r="B18" s="11" t="inlineStr">
        <is>
          <t>10kg</t>
        </is>
      </c>
      <c r="C18" s="11" t="inlineStr">
        <is>
          <t>9kg</t>
        </is>
      </c>
      <c r="D18" s="12" t="n">
        <v>11500</v>
      </c>
      <c r="E18" s="6">
        <f>'설정'!$B$5</f>
        <v/>
      </c>
      <c r="F18" s="6">
        <f>J18*'설정'!$B$6</f>
        <v/>
      </c>
      <c r="G18" s="13">
        <f>D18+E18+F18</f>
        <v/>
      </c>
      <c r="H18" s="14" t="n">
        <v>49900</v>
      </c>
      <c r="I18" s="6">
        <f>ROUND((D18+E18)/(1-'설정'!$B$6),-2)</f>
        <v/>
      </c>
      <c r="J18" s="15">
        <f>ROUND(MAX(H18,(D18+E18)/(1-'설정'!$B$6-'설정'!$B$7)),-2)</f>
        <v/>
      </c>
      <c r="K18" s="16">
        <f>J18-G18</f>
        <v/>
      </c>
      <c r="L18" s="17">
        <f>IF(J18=0,0,K18/J18)</f>
        <v/>
      </c>
      <c r="M18" s="8">
        <f>IF(H18&lt;I18,"⚠️시세&lt;손익분기:손해",IF(J18&gt;H18,"권장가&gt;시세(마진확보↑)","✅시세매칭 OK"))</f>
        <v/>
      </c>
    </row>
  </sheetData>
  <mergeCells count="2">
    <mergeCell ref="A2:M2"/>
    <mergeCell ref="A1:M1"/>
  </mergeCells>
  <conditionalFormatting sqref="K4:K1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대극천복숭아 — 당근 마진계산 (수수료 3.3% 반영)</t>
        </is>
      </c>
    </row>
    <row r="2">
      <c r="A2" s="9" t="inlineStr">
        <is>
          <t>🟩공급가 실측(영천·김천 등 국내산,롯데택배,일반박스+쉘 벌크포장 포함,5~7월중순). 시세=쿠팡(로얄대과 1kg18,800·2kg28,800). 소과=11~16과/kg, 로얄과=4~10과/kg.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>
        <is>
          <t>4~10과</t>
        </is>
      </c>
      <c r="D4" s="12" t="n">
        <v>9300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18800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8~20과</t>
        </is>
      </c>
      <c r="D5" s="12" t="n">
        <v>15000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28800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소과</t>
        </is>
      </c>
      <c r="B6" s="11" t="inlineStr">
        <is>
          <t>1kg</t>
        </is>
      </c>
      <c r="C6" s="11" t="inlineStr">
        <is>
          <t>11~16과</t>
        </is>
      </c>
      <c r="D6" s="12" t="n">
        <v>6900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14800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소과</t>
        </is>
      </c>
      <c r="B7" s="11" t="inlineStr">
        <is>
          <t>2kg</t>
        </is>
      </c>
      <c r="C7" s="11" t="inlineStr">
        <is>
          <t>21~32과</t>
        </is>
      </c>
      <c r="D7" s="12" t="n">
        <v>11000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22800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</sheetData>
  <mergeCells count="2">
    <mergeCell ref="A2:M2"/>
    <mergeCell ref="A1:M1"/>
  </mergeCells>
  <conditionalFormatting sqref="K4:K7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미니밤호박(보우짱) — 당근 마진계산 (수수료 3.3% 반영)</t>
        </is>
      </c>
    </row>
    <row r="2">
      <c r="A2" s="9" t="inlineStr">
        <is>
          <t>🟩공급가 실측(제주,한진택배,무료배송 포함,비과세). 시세=쿠팡 판매가. ⚠️공급가가 시세에 매우 근접 → 저마진/손해 구간 많음.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>
        <is>
          <t>0.8kg</t>
        </is>
      </c>
      <c r="D4" s="12" t="n">
        <v>5600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5900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1.5kg</t>
        </is>
      </c>
      <c r="D5" s="12" t="n">
        <v>6900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7700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로얄과</t>
        </is>
      </c>
      <c r="B6" s="11" t="inlineStr">
        <is>
          <t>3kg</t>
        </is>
      </c>
      <c r="C6" s="11" t="inlineStr">
        <is>
          <t>2.5kg</t>
        </is>
      </c>
      <c r="D6" s="12" t="n">
        <v>8800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9800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로얄과</t>
        </is>
      </c>
      <c r="B7" s="11" t="inlineStr">
        <is>
          <t>4kg</t>
        </is>
      </c>
      <c r="C7" s="11" t="inlineStr">
        <is>
          <t>3.5kg</t>
        </is>
      </c>
      <c r="D7" s="12" t="n">
        <v>11200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12400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로얄과</t>
        </is>
      </c>
      <c r="B8" s="11" t="inlineStr">
        <is>
          <t>5kg</t>
        </is>
      </c>
      <c r="C8" s="11" t="inlineStr">
        <is>
          <t>4.5kg</t>
        </is>
      </c>
      <c r="D8" s="12" t="n">
        <v>12750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14500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로얄과</t>
        </is>
      </c>
      <c r="B9" s="11" t="inlineStr">
        <is>
          <t>8kg</t>
        </is>
      </c>
      <c r="C9" s="11" t="inlineStr">
        <is>
          <t>7.5kg</t>
        </is>
      </c>
      <c r="D9" s="12" t="n">
        <v>18600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18900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로얄과</t>
        </is>
      </c>
      <c r="B10" s="11" t="inlineStr">
        <is>
          <t>10kg</t>
        </is>
      </c>
      <c r="C10" s="11" t="inlineStr">
        <is>
          <t>9kg</t>
        </is>
      </c>
      <c r="D10" s="12" t="n">
        <v>21300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24400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</sheetData>
  <mergeCells count="2">
    <mergeCell ref="A2:M2"/>
    <mergeCell ref="A1:M1"/>
  </mergeCells>
  <conditionalFormatting sqref="K4:K10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홍감자 — 당근 마진계산 (수수료 3.3% 반영)</t>
        </is>
      </c>
    </row>
    <row r="2">
      <c r="A2" s="9" t="inlineStr">
        <is>
          <t>🟩공급가 실측(남해 등 국내산,롯데택배,농산물박스 포함). 🟦시세=쿠팡/오아시스마켓 참고(대 3kg13,900·5kg19,900)-조정가능.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소</t>
        </is>
      </c>
      <c r="B4" s="11" t="inlineStr">
        <is>
          <t>1kg</t>
        </is>
      </c>
      <c r="C4" s="11" t="inlineStr"/>
      <c r="D4" s="12" t="n">
        <v>4200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4900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소</t>
        </is>
      </c>
      <c r="B5" s="11" t="inlineStr">
        <is>
          <t>2kg</t>
        </is>
      </c>
      <c r="C5" s="11" t="inlineStr"/>
      <c r="D5" s="12" t="n">
        <v>5500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7500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소</t>
        </is>
      </c>
      <c r="B6" s="11" t="inlineStr">
        <is>
          <t>3kg</t>
        </is>
      </c>
      <c r="C6" s="11" t="inlineStr"/>
      <c r="D6" s="12" t="n">
        <v>6600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9900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소</t>
        </is>
      </c>
      <c r="B7" s="11" t="inlineStr">
        <is>
          <t>5kg</t>
        </is>
      </c>
      <c r="C7" s="11" t="inlineStr"/>
      <c r="D7" s="12" t="n">
        <v>9500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13900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중</t>
        </is>
      </c>
      <c r="B8" s="11" t="inlineStr">
        <is>
          <t>1kg</t>
        </is>
      </c>
      <c r="C8" s="11" t="inlineStr"/>
      <c r="D8" s="12" t="n">
        <v>4300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5500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중</t>
        </is>
      </c>
      <c r="B9" s="11" t="inlineStr">
        <is>
          <t>2kg</t>
        </is>
      </c>
      <c r="C9" s="11" t="inlineStr"/>
      <c r="D9" s="12" t="n">
        <v>5700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8500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중</t>
        </is>
      </c>
      <c r="B10" s="11" t="inlineStr">
        <is>
          <t>3kg</t>
        </is>
      </c>
      <c r="C10" s="11" t="inlineStr"/>
      <c r="D10" s="12" t="n">
        <v>6900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11900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1" t="inlineStr">
        <is>
          <t>중</t>
        </is>
      </c>
      <c r="B11" s="11" t="inlineStr">
        <is>
          <t>5kg</t>
        </is>
      </c>
      <c r="C11" s="11" t="inlineStr"/>
      <c r="D11" s="12" t="n">
        <v>10000</v>
      </c>
      <c r="E11" s="6">
        <f>'설정'!$B$5</f>
        <v/>
      </c>
      <c r="F11" s="6">
        <f>J11*'설정'!$B$6</f>
        <v/>
      </c>
      <c r="G11" s="13">
        <f>D11+E11+F11</f>
        <v/>
      </c>
      <c r="H11" s="14" t="n">
        <v>16900</v>
      </c>
      <c r="I11" s="6">
        <f>ROUND((D11+E11)/(1-'설정'!$B$6),-2)</f>
        <v/>
      </c>
      <c r="J11" s="15">
        <f>ROUND(MAX(H11,(D11+E11)/(1-'설정'!$B$6-'설정'!$B$7)),-2)</f>
        <v/>
      </c>
      <c r="K11" s="16">
        <f>J11-G11</f>
        <v/>
      </c>
      <c r="L11" s="17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1" t="inlineStr">
        <is>
          <t>대</t>
        </is>
      </c>
      <c r="B12" s="11" t="inlineStr">
        <is>
          <t>1kg</t>
        </is>
      </c>
      <c r="C12" s="11" t="inlineStr"/>
      <c r="D12" s="12" t="n">
        <v>5300</v>
      </c>
      <c r="E12" s="6">
        <f>'설정'!$B$5</f>
        <v/>
      </c>
      <c r="F12" s="6">
        <f>J12*'설정'!$B$6</f>
        <v/>
      </c>
      <c r="G12" s="13">
        <f>D12+E12+F12</f>
        <v/>
      </c>
      <c r="H12" s="14" t="n">
        <v>6900</v>
      </c>
      <c r="I12" s="6">
        <f>ROUND((D12+E12)/(1-'설정'!$B$6),-2)</f>
        <v/>
      </c>
      <c r="J12" s="15">
        <f>ROUND(MAX(H12,(D12+E12)/(1-'설정'!$B$6-'설정'!$B$7)),-2)</f>
        <v/>
      </c>
      <c r="K12" s="16">
        <f>J12-G12</f>
        <v/>
      </c>
      <c r="L12" s="17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1" t="inlineStr">
        <is>
          <t>대</t>
        </is>
      </c>
      <c r="B13" s="11" t="inlineStr">
        <is>
          <t>2kg</t>
        </is>
      </c>
      <c r="C13" s="11" t="inlineStr"/>
      <c r="D13" s="12" t="n">
        <v>6900</v>
      </c>
      <c r="E13" s="6">
        <f>'설정'!$B$5</f>
        <v/>
      </c>
      <c r="F13" s="6">
        <f>J13*'설정'!$B$6</f>
        <v/>
      </c>
      <c r="G13" s="13">
        <f>D13+E13+F13</f>
        <v/>
      </c>
      <c r="H13" s="14" t="n">
        <v>9900</v>
      </c>
      <c r="I13" s="6">
        <f>ROUND((D13+E13)/(1-'설정'!$B$6),-2)</f>
        <v/>
      </c>
      <c r="J13" s="15">
        <f>ROUND(MAX(H13,(D13+E13)/(1-'설정'!$B$6-'설정'!$B$7)),-2)</f>
        <v/>
      </c>
      <c r="K13" s="16">
        <f>J13-G13</f>
        <v/>
      </c>
      <c r="L13" s="17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1" t="inlineStr">
        <is>
          <t>대</t>
        </is>
      </c>
      <c r="B14" s="11" t="inlineStr">
        <is>
          <t>3kg</t>
        </is>
      </c>
      <c r="C14" s="11" t="inlineStr"/>
      <c r="D14" s="12" t="n">
        <v>8400</v>
      </c>
      <c r="E14" s="6">
        <f>'설정'!$B$5</f>
        <v/>
      </c>
      <c r="F14" s="6">
        <f>J14*'설정'!$B$6</f>
        <v/>
      </c>
      <c r="G14" s="13">
        <f>D14+E14+F14</f>
        <v/>
      </c>
      <c r="H14" s="14" t="n">
        <v>13900</v>
      </c>
      <c r="I14" s="6">
        <f>ROUND((D14+E14)/(1-'설정'!$B$6),-2)</f>
        <v/>
      </c>
      <c r="J14" s="15">
        <f>ROUND(MAX(H14,(D14+E14)/(1-'설정'!$B$6-'설정'!$B$7)),-2)</f>
        <v/>
      </c>
      <c r="K14" s="16">
        <f>J14-G14</f>
        <v/>
      </c>
      <c r="L14" s="17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1" t="inlineStr">
        <is>
          <t>대</t>
        </is>
      </c>
      <c r="B15" s="11" t="inlineStr">
        <is>
          <t>5kg</t>
        </is>
      </c>
      <c r="C15" s="11" t="inlineStr"/>
      <c r="D15" s="12" t="n">
        <v>12500</v>
      </c>
      <c r="E15" s="6">
        <f>'설정'!$B$5</f>
        <v/>
      </c>
      <c r="F15" s="6">
        <f>J15*'설정'!$B$6</f>
        <v/>
      </c>
      <c r="G15" s="13">
        <f>D15+E15+F15</f>
        <v/>
      </c>
      <c r="H15" s="14" t="n">
        <v>19900</v>
      </c>
      <c r="I15" s="6">
        <f>ROUND((D15+E15)/(1-'설정'!$B$6),-2)</f>
        <v/>
      </c>
      <c r="J15" s="15">
        <f>ROUND(MAX(H15,(D15+E15)/(1-'설정'!$B$6-'설정'!$B$7)),-2)</f>
        <v/>
      </c>
      <c r="K15" s="16">
        <f>J15-G15</f>
        <v/>
      </c>
      <c r="L15" s="17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1" t="inlineStr">
        <is>
          <t>특</t>
        </is>
      </c>
      <c r="B16" s="11" t="inlineStr">
        <is>
          <t>1kg</t>
        </is>
      </c>
      <c r="C16" s="11" t="inlineStr"/>
      <c r="D16" s="12" t="n">
        <v>6000</v>
      </c>
      <c r="E16" s="6">
        <f>'설정'!$B$5</f>
        <v/>
      </c>
      <c r="F16" s="6">
        <f>J16*'설정'!$B$6</f>
        <v/>
      </c>
      <c r="G16" s="13">
        <f>D16+E16+F16</f>
        <v/>
      </c>
      <c r="H16" s="14" t="n">
        <v>7500</v>
      </c>
      <c r="I16" s="6">
        <f>ROUND((D16+E16)/(1-'설정'!$B$6),-2)</f>
        <v/>
      </c>
      <c r="J16" s="15">
        <f>ROUND(MAX(H16,(D16+E16)/(1-'설정'!$B$6-'설정'!$B$7)),-2)</f>
        <v/>
      </c>
      <c r="K16" s="16">
        <f>J16-G16</f>
        <v/>
      </c>
      <c r="L16" s="17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1" t="inlineStr">
        <is>
          <t>특</t>
        </is>
      </c>
      <c r="B17" s="11" t="inlineStr">
        <is>
          <t>2kg</t>
        </is>
      </c>
      <c r="C17" s="11" t="inlineStr"/>
      <c r="D17" s="12" t="n">
        <v>8300</v>
      </c>
      <c r="E17" s="6">
        <f>'설정'!$B$5</f>
        <v/>
      </c>
      <c r="F17" s="6">
        <f>J17*'설정'!$B$6</f>
        <v/>
      </c>
      <c r="G17" s="13">
        <f>D17+E17+F17</f>
        <v/>
      </c>
      <c r="H17" s="14" t="n">
        <v>10900</v>
      </c>
      <c r="I17" s="6">
        <f>ROUND((D17+E17)/(1-'설정'!$B$6),-2)</f>
        <v/>
      </c>
      <c r="J17" s="15">
        <f>ROUND(MAX(H17,(D17+E17)/(1-'설정'!$B$6-'설정'!$B$7)),-2)</f>
        <v/>
      </c>
      <c r="K17" s="16">
        <f>J17-G17</f>
        <v/>
      </c>
      <c r="L17" s="17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1" t="inlineStr">
        <is>
          <t>특</t>
        </is>
      </c>
      <c r="B18" s="11" t="inlineStr">
        <is>
          <t>3kg</t>
        </is>
      </c>
      <c r="C18" s="11" t="inlineStr"/>
      <c r="D18" s="12" t="n">
        <v>10500</v>
      </c>
      <c r="E18" s="6">
        <f>'설정'!$B$5</f>
        <v/>
      </c>
      <c r="F18" s="6">
        <f>J18*'설정'!$B$6</f>
        <v/>
      </c>
      <c r="G18" s="13">
        <f>D18+E18+F18</f>
        <v/>
      </c>
      <c r="H18" s="14" t="n">
        <v>14900</v>
      </c>
      <c r="I18" s="6">
        <f>ROUND((D18+E18)/(1-'설정'!$B$6),-2)</f>
        <v/>
      </c>
      <c r="J18" s="15">
        <f>ROUND(MAX(H18,(D18+E18)/(1-'설정'!$B$6-'설정'!$B$7)),-2)</f>
        <v/>
      </c>
      <c r="K18" s="16">
        <f>J18-G18</f>
        <v/>
      </c>
      <c r="L18" s="17">
        <f>IF(J18=0,0,K18/J18)</f>
        <v/>
      </c>
      <c r="M18" s="8">
        <f>IF(H18&lt;I18,"⚠️시세&lt;손익분기:손해",IF(J18&gt;H18,"권장가&gt;시세(마진확보↑)","✅시세매칭 OK"))</f>
        <v/>
      </c>
    </row>
    <row r="19">
      <c r="A19" s="11" t="inlineStr">
        <is>
          <t>특</t>
        </is>
      </c>
      <c r="B19" s="11" t="inlineStr">
        <is>
          <t>5kg</t>
        </is>
      </c>
      <c r="C19" s="11" t="inlineStr"/>
      <c r="D19" s="12" t="n">
        <v>15500</v>
      </c>
      <c r="E19" s="6">
        <f>'설정'!$B$5</f>
        <v/>
      </c>
      <c r="F19" s="6">
        <f>J19*'설정'!$B$6</f>
        <v/>
      </c>
      <c r="G19" s="13">
        <f>D19+E19+F19</f>
        <v/>
      </c>
      <c r="H19" s="14" t="n">
        <v>22900</v>
      </c>
      <c r="I19" s="6">
        <f>ROUND((D19+E19)/(1-'설정'!$B$6),-2)</f>
        <v/>
      </c>
      <c r="J19" s="15">
        <f>ROUND(MAX(H19,(D19+E19)/(1-'설정'!$B$6-'설정'!$B$7)),-2)</f>
        <v/>
      </c>
      <c r="K19" s="16">
        <f>J19-G19</f>
        <v/>
      </c>
      <c r="L19" s="17">
        <f>IF(J19=0,0,K19/J19)</f>
        <v/>
      </c>
      <c r="M19" s="8">
        <f>IF(H19&lt;I19,"⚠️시세&lt;손익분기:손해",IF(J19&gt;H19,"권장가&gt;시세(마진확보↑)","✅시세매칭 OK"))</f>
        <v/>
      </c>
    </row>
    <row r="20">
      <c r="A20" s="11" t="inlineStr">
        <is>
          <t>왕특</t>
        </is>
      </c>
      <c r="B20" s="11" t="inlineStr">
        <is>
          <t>1kg</t>
        </is>
      </c>
      <c r="C20" s="11" t="inlineStr"/>
      <c r="D20" s="12" t="n">
        <v>6300</v>
      </c>
      <c r="E20" s="6">
        <f>'설정'!$B$5</f>
        <v/>
      </c>
      <c r="F20" s="6">
        <f>J20*'설정'!$B$6</f>
        <v/>
      </c>
      <c r="G20" s="13">
        <f>D20+E20+F20</f>
        <v/>
      </c>
      <c r="H20" s="14" t="n">
        <v>7900</v>
      </c>
      <c r="I20" s="6">
        <f>ROUND((D20+E20)/(1-'설정'!$B$6),-2)</f>
        <v/>
      </c>
      <c r="J20" s="15">
        <f>ROUND(MAX(H20,(D20+E20)/(1-'설정'!$B$6-'설정'!$B$7)),-2)</f>
        <v/>
      </c>
      <c r="K20" s="16">
        <f>J20-G20</f>
        <v/>
      </c>
      <c r="L20" s="17">
        <f>IF(J20=0,0,K20/J20)</f>
        <v/>
      </c>
      <c r="M20" s="8">
        <f>IF(H20&lt;I20,"⚠️시세&lt;손익분기:손해",IF(J20&gt;H20,"권장가&gt;시세(마진확보↑)","✅시세매칭 OK"))</f>
        <v/>
      </c>
    </row>
    <row r="21">
      <c r="A21" s="11" t="inlineStr">
        <is>
          <t>왕특</t>
        </is>
      </c>
      <c r="B21" s="11" t="inlineStr">
        <is>
          <t>2kg</t>
        </is>
      </c>
      <c r="C21" s="11" t="inlineStr"/>
      <c r="D21" s="12" t="n">
        <v>8800</v>
      </c>
      <c r="E21" s="6">
        <f>'설정'!$B$5</f>
        <v/>
      </c>
      <c r="F21" s="6">
        <f>J21*'설정'!$B$6</f>
        <v/>
      </c>
      <c r="G21" s="13">
        <f>D21+E21+F21</f>
        <v/>
      </c>
      <c r="H21" s="14" t="n">
        <v>11900</v>
      </c>
      <c r="I21" s="6">
        <f>ROUND((D21+E21)/(1-'설정'!$B$6),-2)</f>
        <v/>
      </c>
      <c r="J21" s="15">
        <f>ROUND(MAX(H21,(D21+E21)/(1-'설정'!$B$6-'설정'!$B$7)),-2)</f>
        <v/>
      </c>
      <c r="K21" s="16">
        <f>J21-G21</f>
        <v/>
      </c>
      <c r="L21" s="17">
        <f>IF(J21=0,0,K21/J21)</f>
        <v/>
      </c>
      <c r="M21" s="8">
        <f>IF(H21&lt;I21,"⚠️시세&lt;손익분기:손해",IF(J21&gt;H21,"권장가&gt;시세(마진확보↑)","✅시세매칭 OK"))</f>
        <v/>
      </c>
    </row>
    <row r="22">
      <c r="A22" s="11" t="inlineStr">
        <is>
          <t>왕특</t>
        </is>
      </c>
      <c r="B22" s="11" t="inlineStr">
        <is>
          <t>3kg</t>
        </is>
      </c>
      <c r="C22" s="11" t="inlineStr"/>
      <c r="D22" s="12" t="n">
        <v>11700</v>
      </c>
      <c r="E22" s="6">
        <f>'설정'!$B$5</f>
        <v/>
      </c>
      <c r="F22" s="6">
        <f>J22*'설정'!$B$6</f>
        <v/>
      </c>
      <c r="G22" s="13">
        <f>D22+E22+F22</f>
        <v/>
      </c>
      <c r="H22" s="14" t="n">
        <v>16900</v>
      </c>
      <c r="I22" s="6">
        <f>ROUND((D22+E22)/(1-'설정'!$B$6),-2)</f>
        <v/>
      </c>
      <c r="J22" s="15">
        <f>ROUND(MAX(H22,(D22+E22)/(1-'설정'!$B$6-'설정'!$B$7)),-2)</f>
        <v/>
      </c>
      <c r="K22" s="16">
        <f>J22-G22</f>
        <v/>
      </c>
      <c r="L22" s="17">
        <f>IF(J22=0,0,K22/J22)</f>
        <v/>
      </c>
      <c r="M22" s="8">
        <f>IF(H22&lt;I22,"⚠️시세&lt;손익분기:손해",IF(J22&gt;H22,"권장가&gt;시세(마진확보↑)","✅시세매칭 OK"))</f>
        <v/>
      </c>
    </row>
    <row r="23">
      <c r="A23" s="11" t="inlineStr">
        <is>
          <t>왕특</t>
        </is>
      </c>
      <c r="B23" s="11" t="inlineStr">
        <is>
          <t>5kg</t>
        </is>
      </c>
      <c r="C23" s="11" t="inlineStr"/>
      <c r="D23" s="12" t="n">
        <v>18000</v>
      </c>
      <c r="E23" s="6">
        <f>'설정'!$B$5</f>
        <v/>
      </c>
      <c r="F23" s="6">
        <f>J23*'설정'!$B$6</f>
        <v/>
      </c>
      <c r="G23" s="13">
        <f>D23+E23+F23</f>
        <v/>
      </c>
      <c r="H23" s="14" t="n">
        <v>24800</v>
      </c>
      <c r="I23" s="6">
        <f>ROUND((D23+E23)/(1-'설정'!$B$6),-2)</f>
        <v/>
      </c>
      <c r="J23" s="15">
        <f>ROUND(MAX(H23,(D23+E23)/(1-'설정'!$B$6-'설정'!$B$7)),-2)</f>
        <v/>
      </c>
      <c r="K23" s="16">
        <f>J23-G23</f>
        <v/>
      </c>
      <c r="L23" s="17">
        <f>IF(J23=0,0,K23/J23)</f>
        <v/>
      </c>
      <c r="M23" s="8">
        <f>IF(H23&lt;I23,"⚠️시세&lt;손익분기:손해",IF(J23&gt;H23,"권장가&gt;시세(마진확보↑)","✅시세매칭 OK"))</f>
        <v/>
      </c>
    </row>
  </sheetData>
  <mergeCells count="2">
    <mergeCell ref="A2:M2"/>
    <mergeCell ref="A1:M1"/>
  </mergeCells>
  <conditionalFormatting sqref="K4:K23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콜라비 — 당근 마진계산 (수수료 3.3% 반영)</t>
        </is>
      </c>
    </row>
    <row r="2">
      <c r="A2" s="9" t="inlineStr">
        <is>
          <t>🟩공급가 확정(소싱현황). 시세=쿠팡 최종쿠폰가.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정품</t>
        </is>
      </c>
      <c r="B4" s="11" t="inlineStr">
        <is>
          <t>3kg</t>
        </is>
      </c>
      <c r="C4" s="11" t="inlineStr"/>
      <c r="D4" s="12" t="n">
        <v>9500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12420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정품</t>
        </is>
      </c>
      <c r="B5" s="11" t="inlineStr">
        <is>
          <t>5kg</t>
        </is>
      </c>
      <c r="C5" s="11" t="inlineStr"/>
      <c r="D5" s="12" t="n">
        <v>13200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19050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정품</t>
        </is>
      </c>
      <c r="B6" s="11" t="inlineStr">
        <is>
          <t>10kg</t>
        </is>
      </c>
      <c r="C6" s="11" t="inlineStr"/>
      <c r="D6" s="12" t="n">
        <v>22700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29390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</sheetData>
  <mergeCells count="2">
    <mergeCell ref="A2:M2"/>
    <mergeCell ref="A1:M1"/>
  </mergeCells>
  <conditionalFormatting sqref="K4:K6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2026-06-29T07:55:10Z</dcterms:created>
  <dcterms:modified xsi:type="dcterms:W3CDTF">2026-06-29T07:55:10Z</dcterms:modified>
</cp:coreProperties>
</file>