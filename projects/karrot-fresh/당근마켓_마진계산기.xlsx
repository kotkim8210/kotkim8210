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요약" sheetId="2" state="visible" r:id="rId2"/>
    <sheet name="성주참외" sheetId="3" state="visible" r:id="rId3"/>
    <sheet name="미니밤호박(보우짱)" sheetId="4" state="visible" r:id="rId4"/>
    <sheet name="홍감자" sheetId="5" state="visible" r:id="rId5"/>
    <sheet name="콜라비" sheetId="6" state="visible" r:id="rId6"/>
    <sheet name="쥬얼리프룻(제주다팜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color rgb="00808080"/>
      <sz val="9"/>
    </font>
    <font>
      <color rgb="00C00000"/>
      <sz val="9"/>
    </font>
    <font>
      <color rgb="00548235"/>
      <sz val="9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</cols>
  <sheetData>
    <row r="1" ht="26" customHeight="1">
      <c r="A1" s="1" t="inlineStr">
        <is>
          <t>🥕 당근마켓 마진계산기 — 글로벌 설정</t>
        </is>
      </c>
    </row>
    <row r="3">
      <c r="A3" s="2" t="inlineStr">
        <is>
          <t>광고비 (원/일)</t>
        </is>
      </c>
      <c r="B3" s="3" t="n">
        <v>40000</v>
      </c>
      <c r="C3" s="4" t="inlineStr">
        <is>
          <t>하루 광고 예산. 3~5만원 사이로 조정</t>
        </is>
      </c>
    </row>
    <row r="4">
      <c r="A4" s="2" t="inlineStr">
        <is>
          <t>예상 일 판매건수 (건/일)</t>
        </is>
      </c>
      <c r="B4" s="5" t="n">
        <v>15</v>
      </c>
      <c r="C4" s="4" t="inlineStr">
        <is>
          <t>이 광고로 하루에 몇 건 팔지 가정</t>
        </is>
      </c>
    </row>
    <row r="5">
      <c r="A5" s="2" t="inlineStr">
        <is>
          <t>→ 건당 광고비 (자동)</t>
        </is>
      </c>
      <c r="B5" s="6">
        <f>B3/B4</f>
        <v/>
      </c>
      <c r="C5" s="4" t="inlineStr">
        <is>
          <t>광고비÷판매건수. 모든 상품 원가에 더해짐</t>
        </is>
      </c>
    </row>
    <row r="6">
      <c r="A6" s="2" t="inlineStr">
        <is>
          <t>기본 포장/부자재 (원/건)</t>
        </is>
      </c>
      <c r="B6" s="3" t="n">
        <v>1500</v>
      </c>
      <c r="C6" s="4" t="inlineStr">
        <is>
          <t>박스·아이스팩·완충재 등</t>
        </is>
      </c>
    </row>
    <row r="7">
      <c r="A7" s="2" t="inlineStr">
        <is>
          <t>기본 택배비 (원/건)</t>
        </is>
      </c>
      <c r="B7" s="3" t="n">
        <v>3500</v>
      </c>
      <c r="C7" s="4" t="inlineStr">
        <is>
          <t>직거래면 각 상품시트에서 0으로</t>
        </is>
      </c>
    </row>
    <row r="8">
      <c r="A8" s="2" t="inlineStr">
        <is>
          <t>목표 최소 마진율</t>
        </is>
      </c>
      <c r="B8" s="7" t="n">
        <v>0.15</v>
      </c>
      <c r="C8" s="4" t="inlineStr">
        <is>
          <t>이 마진율 아래로는 권장가가 안 내려감</t>
        </is>
      </c>
    </row>
    <row r="9">
      <c r="A9" s="8" t="inlineStr"/>
    </row>
    <row r="10">
      <c r="A10" s="2" t="inlineStr">
        <is>
          <t>── 사용법 ─────────────────────────────</t>
        </is>
      </c>
    </row>
    <row r="11">
      <c r="A11" s="8" t="inlineStr">
        <is>
          <t>1) 위 노란칸(광고비·판매건수·포장·택배·목표마진)을 내 상황에 맞게 입력.</t>
        </is>
      </c>
    </row>
    <row r="12">
      <c r="A12" s="8" t="inlineStr">
        <is>
          <t>2) 각 상품 시트에서 🟡노란 '공급가'에 실제 매입가를 넣으면 끝.</t>
        </is>
      </c>
    </row>
    <row r="13">
      <c r="A13" s="8" t="inlineStr">
        <is>
          <t>3) '당근권장가'가 자동 계산됨 = 시세에 맞추되 원가+목표마진 밑으론 안 내려감(=손해 0).</t>
        </is>
      </c>
    </row>
    <row r="14">
      <c r="A14" s="8" t="inlineStr">
        <is>
          <t>4) '마진'이 빨간색(음수)이면 그 가격엔 팔면 손해 → 공급가 재협상/가격 조정.</t>
        </is>
      </c>
    </row>
    <row r="15">
      <c r="A15" s="8" t="inlineStr"/>
    </row>
    <row r="16">
      <c r="A16" s="2" t="inlineStr">
        <is>
          <t>🟡노랑=입력칸  🟩연초록=공급가 확정(파일근거)  🟦연파랑=시세(쿠팡)  🟧주황=권장판매가</t>
        </is>
      </c>
    </row>
    <row r="17">
      <c r="A17" s="8" t="inlineStr"/>
    </row>
    <row r="18">
      <c r="A18" s="2" t="inlineStr">
        <is>
          <t>⚠️ 당근은 쿠팡 판매수수료(11.66%)가 없음 → 그래서 더 싸게/마진 크게 가능.</t>
        </is>
      </c>
    </row>
    <row r="19">
      <c r="A19" s="8" t="inlineStr">
        <is>
          <t xml:space="preserve">   대신 광고비가 변동비처럼 들어가므로 '건당 광고비'로 환산해 원가에 포함시킴.</t>
        </is>
      </c>
    </row>
    <row r="20">
      <c r="A20" s="8" t="inlineStr"/>
    </row>
    <row r="21">
      <c r="A21" s="2" t="inlineStr">
        <is>
          <t>❗ 공급가 미확정 품목(성주참외·보우짱·홍감자)은 추정치를 넣어둠 → 실제가로 덮어쓰면 손익 확정.</t>
        </is>
      </c>
    </row>
  </sheetData>
  <mergeCells count="14">
    <mergeCell ref="A10:C10"/>
    <mergeCell ref="A13:C13"/>
    <mergeCell ref="A11:C11"/>
    <mergeCell ref="A19:C19"/>
    <mergeCell ref="A1:C1"/>
    <mergeCell ref="A14:C14"/>
    <mergeCell ref="A17:C17"/>
    <mergeCell ref="A9:C9"/>
    <mergeCell ref="A18:C18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10" customWidth="1" min="4" max="4"/>
  </cols>
  <sheetData>
    <row r="1" ht="24" customHeight="1">
      <c r="A1" s="1" t="inlineStr">
        <is>
          <t>📊 요약 — 꼭 확인/입력할 것</t>
        </is>
      </c>
    </row>
    <row r="3">
      <c r="A3" s="9" t="inlineStr">
        <is>
          <t>상품</t>
        </is>
      </c>
      <c r="B3" s="9" t="inlineStr">
        <is>
          <t>공급가 상태</t>
        </is>
      </c>
      <c r="C3" s="9" t="inlineStr">
        <is>
          <t>해야 할 일</t>
        </is>
      </c>
      <c r="D3" s="9" t="inlineStr"/>
    </row>
    <row r="4">
      <c r="A4" s="10" t="inlineStr">
        <is>
          <t>성주참외</t>
        </is>
      </c>
      <c r="B4" s="10" t="inlineStr">
        <is>
          <t>❌ 추정</t>
        </is>
      </c>
      <c r="C4" s="10" t="inlineStr">
        <is>
          <t>실제 산지 매입가를 각 kg에 입력</t>
        </is>
      </c>
      <c r="D4" s="10" t="inlineStr"/>
    </row>
    <row r="5">
      <c r="A5" s="10" t="inlineStr">
        <is>
          <t>미니밤호박(보우짱)</t>
        </is>
      </c>
      <c r="B5" s="10" t="inlineStr">
        <is>
          <t>⚠️ 추정</t>
        </is>
      </c>
      <c r="C5" s="10" t="inlineStr">
        <is>
          <t>쥬얼리프룻 공급가 확정받아 입력</t>
        </is>
      </c>
      <c r="D5" s="10" t="inlineStr"/>
    </row>
    <row r="6">
      <c r="A6" s="10" t="inlineStr">
        <is>
          <t>홍감자</t>
        </is>
      </c>
      <c r="B6" s="10" t="inlineStr">
        <is>
          <t>❌ 데이터없음</t>
        </is>
      </c>
      <c r="C6" s="10" t="inlineStr">
        <is>
          <t>공급가·쿠팡 시세 둘 다 확인 입력</t>
        </is>
      </c>
      <c r="D6" s="10" t="inlineStr"/>
    </row>
    <row r="7">
      <c r="A7" s="10" t="inlineStr">
        <is>
          <t>콜라비</t>
        </is>
      </c>
      <c r="B7" s="10" t="inlineStr">
        <is>
          <t>✅ 확정</t>
        </is>
      </c>
      <c r="C7" s="10" t="inlineStr">
        <is>
          <t>그대로 사용 가능</t>
        </is>
      </c>
      <c r="D7" s="10" t="inlineStr"/>
    </row>
    <row r="8">
      <c r="A8" s="10" t="inlineStr">
        <is>
          <t>쥬얼리프룻</t>
        </is>
      </c>
      <c r="B8" s="10" t="inlineStr">
        <is>
          <t>✅ 확정</t>
        </is>
      </c>
      <c r="C8" s="10" t="inlineStr">
        <is>
          <t>그대로 사용 가능</t>
        </is>
      </c>
      <c r="D8" s="10" t="inlineStr"/>
    </row>
    <row r="11">
      <c r="A11" s="2" t="inlineStr">
        <is>
          <t>핵심: 당근=수수료0 + 광고비(일 3~5만)만 건당 분배. '당근권장가'는 시세에 맞추되 원가+목표마진 아래로는 절대 안 내려가게 자동 계산 → 손해 0.</t>
        </is>
      </c>
    </row>
    <row r="12"/>
    <row r="13"/>
  </sheetData>
  <mergeCells count="2">
    <mergeCell ref="A1:D1"/>
    <mergeCell ref="A11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4" customWidth="1" min="8" max="8"/>
    <col width="11" customWidth="1" min="9" max="9"/>
    <col width="12" customWidth="1" min="10" max="10"/>
    <col width="11" customWidth="1" min="11" max="11"/>
    <col width="9" customWidth="1" min="12" max="12"/>
    <col width="22" customWidth="1" min="13" max="13"/>
  </cols>
  <sheetData>
    <row r="1" ht="24" customHeight="1">
      <c r="A1" s="1" t="inlineStr">
        <is>
          <t>🥕 성주참외 — 당근 마진계산</t>
        </is>
      </c>
    </row>
    <row r="2">
      <c r="A2" s="11" t="inlineStr">
        <is>
          <t>🟡공급가=추정치(실매입가로 덮어쓰기). 시세=쿠팡 시장조사(1kg 최저9,110·5kg 최저29,900 등). 직거래시 택배비 0.</t>
        </is>
      </c>
    </row>
    <row r="3">
      <c r="A3" s="12" t="inlineStr">
        <is>
          <t>옵션</t>
        </is>
      </c>
      <c r="B3" s="12" t="inlineStr">
        <is>
          <t>실중량</t>
        </is>
      </c>
      <c r="C3" s="12" t="inlineStr">
        <is>
          <t>공급가</t>
        </is>
      </c>
      <c r="D3" s="12" t="inlineStr">
        <is>
          <t>택배비</t>
        </is>
      </c>
      <c r="E3" s="12" t="inlineStr">
        <is>
          <t>포장비</t>
        </is>
      </c>
      <c r="F3" s="12" t="inlineStr">
        <is>
          <t>건당광고비</t>
        </is>
      </c>
      <c r="G3" s="12" t="inlineStr">
        <is>
          <t>총원가</t>
        </is>
      </c>
      <c r="H3" s="12" t="inlineStr">
        <is>
          <t>시중시세(쿠팡)</t>
        </is>
      </c>
      <c r="I3" s="12" t="inlineStr">
        <is>
          <t>손익분기가</t>
        </is>
      </c>
      <c r="J3" s="12" t="inlineStr">
        <is>
          <t>당근권장가</t>
        </is>
      </c>
      <c r="K3" s="12" t="inlineStr">
        <is>
          <t>마진(원)</t>
        </is>
      </c>
      <c r="L3" s="12" t="inlineStr">
        <is>
          <t>마진율</t>
        </is>
      </c>
      <c r="M3" s="12" t="inlineStr">
        <is>
          <t>비고</t>
        </is>
      </c>
    </row>
    <row r="4">
      <c r="A4" s="13" t="inlineStr">
        <is>
          <t>1kg</t>
        </is>
      </c>
      <c r="B4" s="13" t="inlineStr">
        <is>
          <t>~0.9kg</t>
        </is>
      </c>
      <c r="C4" s="3" t="n">
        <v>5500</v>
      </c>
      <c r="D4" s="14">
        <f>'설정'!$B$7</f>
        <v/>
      </c>
      <c r="E4" s="14">
        <f>'설정'!$B$6</f>
        <v/>
      </c>
      <c r="F4" s="6">
        <f>'설정'!$B$5</f>
        <v/>
      </c>
      <c r="G4" s="15">
        <f>C4+D4+E4+F4</f>
        <v/>
      </c>
      <c r="H4" s="16" t="n">
        <v>9900</v>
      </c>
      <c r="I4" s="6">
        <f>G4</f>
        <v/>
      </c>
      <c r="J4" s="17">
        <f>ROUND(MAX(H4,G4*(1+'설정'!$B$8)),-2)</f>
        <v/>
      </c>
      <c r="K4" s="14">
        <f>J4-G4</f>
        <v/>
      </c>
      <c r="L4" s="18">
        <f>IF(J4=0,0,K4/J4)</f>
        <v/>
      </c>
      <c r="M4" s="8">
        <f>IF(H4&lt;G4,"⚠️시세&lt;원가:공급가 재협상",IF(J4&gt;H4,"권장가&gt;시세(마진확보↑)","✅시세 매칭 OK"))</f>
        <v/>
      </c>
    </row>
    <row r="5">
      <c r="A5" s="13" t="inlineStr">
        <is>
          <t>2kg</t>
        </is>
      </c>
      <c r="B5" s="13" t="inlineStr">
        <is>
          <t>~1.8kg</t>
        </is>
      </c>
      <c r="C5" s="3" t="n">
        <v>9500</v>
      </c>
      <c r="D5" s="14">
        <f>'설정'!$B$7</f>
        <v/>
      </c>
      <c r="E5" s="14">
        <f>'설정'!$B$6</f>
        <v/>
      </c>
      <c r="F5" s="6">
        <f>'설정'!$B$5</f>
        <v/>
      </c>
      <c r="G5" s="15">
        <f>C5+D5+E5+F5</f>
        <v/>
      </c>
      <c r="H5" s="16" t="n">
        <v>17900</v>
      </c>
      <c r="I5" s="6">
        <f>G5</f>
        <v/>
      </c>
      <c r="J5" s="17">
        <f>ROUND(MAX(H5,G5*(1+'설정'!$B$8)),-2)</f>
        <v/>
      </c>
      <c r="K5" s="14">
        <f>J5-G5</f>
        <v/>
      </c>
      <c r="L5" s="18">
        <f>IF(J5=0,0,K5/J5)</f>
        <v/>
      </c>
      <c r="M5" s="8">
        <f>IF(H5&lt;G5,"⚠️시세&lt;원가:공급가 재협상",IF(J5&gt;H5,"권장가&gt;시세(마진확보↑)","✅시세 매칭 OK"))</f>
        <v/>
      </c>
    </row>
    <row r="6">
      <c r="A6" s="13" t="inlineStr">
        <is>
          <t>3kg</t>
        </is>
      </c>
      <c r="B6" s="13" t="inlineStr">
        <is>
          <t>~2.8kg</t>
        </is>
      </c>
      <c r="C6" s="3" t="n">
        <v>12500</v>
      </c>
      <c r="D6" s="14">
        <f>'설정'!$B$7</f>
        <v/>
      </c>
      <c r="E6" s="14">
        <f>'설정'!$B$6</f>
        <v/>
      </c>
      <c r="F6" s="6">
        <f>'설정'!$B$5</f>
        <v/>
      </c>
      <c r="G6" s="15">
        <f>C6+D6+E6+F6</f>
        <v/>
      </c>
      <c r="H6" s="16" t="n">
        <v>19800</v>
      </c>
      <c r="I6" s="6">
        <f>G6</f>
        <v/>
      </c>
      <c r="J6" s="17">
        <f>ROUND(MAX(H6,G6*(1+'설정'!$B$8)),-2)</f>
        <v/>
      </c>
      <c r="K6" s="14">
        <f>J6-G6</f>
        <v/>
      </c>
      <c r="L6" s="18">
        <f>IF(J6=0,0,K6/J6)</f>
        <v/>
      </c>
      <c r="M6" s="8">
        <f>IF(H6&lt;G6,"⚠️시세&lt;원가:공급가 재협상",IF(J6&gt;H6,"권장가&gt;시세(마진확보↑)","✅시세 매칭 OK"))</f>
        <v/>
      </c>
    </row>
    <row r="7">
      <c r="A7" s="13" t="inlineStr">
        <is>
          <t>5kg</t>
        </is>
      </c>
      <c r="B7" s="13" t="inlineStr">
        <is>
          <t>~4.8kg</t>
        </is>
      </c>
      <c r="C7" s="3" t="n">
        <v>19000</v>
      </c>
      <c r="D7" s="14">
        <f>'설정'!$B$7</f>
        <v/>
      </c>
      <c r="E7" s="14">
        <f>'설정'!$B$6</f>
        <v/>
      </c>
      <c r="F7" s="6">
        <f>'설정'!$B$5</f>
        <v/>
      </c>
      <c r="G7" s="15">
        <f>C7+D7+E7+F7</f>
        <v/>
      </c>
      <c r="H7" s="16" t="n">
        <v>29900</v>
      </c>
      <c r="I7" s="6">
        <f>G7</f>
        <v/>
      </c>
      <c r="J7" s="17">
        <f>ROUND(MAX(H7,G7*(1+'설정'!$B$8)),-2)</f>
        <v/>
      </c>
      <c r="K7" s="14">
        <f>J7-G7</f>
        <v/>
      </c>
      <c r="L7" s="18">
        <f>IF(J7=0,0,K7/J7)</f>
        <v/>
      </c>
      <c r="M7" s="8">
        <f>IF(H7&lt;G7,"⚠️시세&lt;원가:공급가 재협상",IF(J7&gt;H7,"권장가&gt;시세(마진확보↑)","✅시세 매칭 OK"))</f>
        <v/>
      </c>
    </row>
    <row r="8">
      <c r="A8" s="13" t="inlineStr">
        <is>
          <t>10kg</t>
        </is>
      </c>
      <c r="B8" s="13" t="inlineStr">
        <is>
          <t>~9.5kg</t>
        </is>
      </c>
      <c r="C8" s="3" t="n">
        <v>35000</v>
      </c>
      <c r="D8" s="14">
        <f>'설정'!$B$7</f>
        <v/>
      </c>
      <c r="E8" s="14">
        <f>'설정'!$B$6</f>
        <v/>
      </c>
      <c r="F8" s="6">
        <f>'설정'!$B$5</f>
        <v/>
      </c>
      <c r="G8" s="15">
        <f>C8+D8+E8+F8</f>
        <v/>
      </c>
      <c r="H8" s="16" t="n">
        <v>53000</v>
      </c>
      <c r="I8" s="6">
        <f>G8</f>
        <v/>
      </c>
      <c r="J8" s="17">
        <f>ROUND(MAX(H8,G8*(1+'설정'!$B$8)),-2)</f>
        <v/>
      </c>
      <c r="K8" s="14">
        <f>J8-G8</f>
        <v/>
      </c>
      <c r="L8" s="18">
        <f>IF(J8=0,0,K8/J8)</f>
        <v/>
      </c>
      <c r="M8" s="8">
        <f>IF(H8&lt;G8,"⚠️시세&lt;원가:공급가 재협상",IF(J8&gt;H8,"권장가&gt;시세(마진확보↑)","✅시세 매칭 OK"))</f>
        <v/>
      </c>
    </row>
  </sheetData>
  <mergeCells count="2">
    <mergeCell ref="A2:M2"/>
    <mergeCell ref="A1:M1"/>
  </mergeCells>
  <conditionalFormatting sqref="K4:K8">
    <cfRule type="cellIs" priority="1" operator="lessThan" dxfId="0">
      <formula>0</formula>
    </cfRule>
  </conditionalFormatting>
  <conditionalFormatting sqref="L4:L8"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4" customWidth="1" min="8" max="8"/>
    <col width="11" customWidth="1" min="9" max="9"/>
    <col width="12" customWidth="1" min="10" max="10"/>
    <col width="11" customWidth="1" min="11" max="11"/>
    <col width="9" customWidth="1" min="12" max="12"/>
    <col width="22" customWidth="1" min="13" max="13"/>
  </cols>
  <sheetData>
    <row r="1" ht="24" customHeight="1">
      <c r="A1" s="1" t="inlineStr">
        <is>
          <t>🥕 미니밤호박(보우짱) — 당근 마진계산</t>
        </is>
      </c>
    </row>
    <row r="2">
      <c r="A2" s="11" t="inlineStr">
        <is>
          <t>🟡공급가=추정치(파일엔 '-'/▼표기뿐). 시세=파일 쿠폰가(보우짱 정품). 실중량=실제 무게.</t>
        </is>
      </c>
    </row>
    <row r="3">
      <c r="A3" s="12" t="inlineStr">
        <is>
          <t>옵션</t>
        </is>
      </c>
      <c r="B3" s="12" t="inlineStr">
        <is>
          <t>실중량</t>
        </is>
      </c>
      <c r="C3" s="12" t="inlineStr">
        <is>
          <t>공급가</t>
        </is>
      </c>
      <c r="D3" s="12" t="inlineStr">
        <is>
          <t>택배비</t>
        </is>
      </c>
      <c r="E3" s="12" t="inlineStr">
        <is>
          <t>포장비</t>
        </is>
      </c>
      <c r="F3" s="12" t="inlineStr">
        <is>
          <t>건당광고비</t>
        </is>
      </c>
      <c r="G3" s="12" t="inlineStr">
        <is>
          <t>총원가</t>
        </is>
      </c>
      <c r="H3" s="12" t="inlineStr">
        <is>
          <t>시중시세(쿠팡)</t>
        </is>
      </c>
      <c r="I3" s="12" t="inlineStr">
        <is>
          <t>손익분기가</t>
        </is>
      </c>
      <c r="J3" s="12" t="inlineStr">
        <is>
          <t>당근권장가</t>
        </is>
      </c>
      <c r="K3" s="12" t="inlineStr">
        <is>
          <t>마진(원)</t>
        </is>
      </c>
      <c r="L3" s="12" t="inlineStr">
        <is>
          <t>마진율</t>
        </is>
      </c>
      <c r="M3" s="12" t="inlineStr">
        <is>
          <t>비고</t>
        </is>
      </c>
    </row>
    <row r="4">
      <c r="A4" s="13" t="inlineStr">
        <is>
          <t>1kg</t>
        </is>
      </c>
      <c r="B4" s="13" t="inlineStr">
        <is>
          <t>0.8kg</t>
        </is>
      </c>
      <c r="C4" s="3" t="n">
        <v>3500</v>
      </c>
      <c r="D4" s="14">
        <f>'설정'!$B$7</f>
        <v/>
      </c>
      <c r="E4" s="14">
        <f>'설정'!$B$6</f>
        <v/>
      </c>
      <c r="F4" s="6">
        <f>'설정'!$B$5</f>
        <v/>
      </c>
      <c r="G4" s="15">
        <f>C4+D4+E4+F4</f>
        <v/>
      </c>
      <c r="H4" s="16" t="n">
        <v>5900</v>
      </c>
      <c r="I4" s="6">
        <f>G4</f>
        <v/>
      </c>
      <c r="J4" s="17">
        <f>ROUND(MAX(H4,G4*(1+'설정'!$B$8)),-2)</f>
        <v/>
      </c>
      <c r="K4" s="14">
        <f>J4-G4</f>
        <v/>
      </c>
      <c r="L4" s="18">
        <f>IF(J4=0,0,K4/J4)</f>
        <v/>
      </c>
      <c r="M4" s="8">
        <f>IF(H4&lt;G4,"⚠️시세&lt;원가:공급가 재협상",IF(J4&gt;H4,"권장가&gt;시세(마진확보↑)","✅시세 매칭 OK"))</f>
        <v/>
      </c>
    </row>
    <row r="5">
      <c r="A5" s="13" t="inlineStr">
        <is>
          <t>2kg</t>
        </is>
      </c>
      <c r="B5" s="13" t="inlineStr">
        <is>
          <t>1.5kg</t>
        </is>
      </c>
      <c r="C5" s="3" t="n">
        <v>4500</v>
      </c>
      <c r="D5" s="14">
        <f>'설정'!$B$7</f>
        <v/>
      </c>
      <c r="E5" s="14">
        <f>'설정'!$B$6</f>
        <v/>
      </c>
      <c r="F5" s="6">
        <f>'설정'!$B$5</f>
        <v/>
      </c>
      <c r="G5" s="15">
        <f>C5+D5+E5+F5</f>
        <v/>
      </c>
      <c r="H5" s="16" t="n">
        <v>7700</v>
      </c>
      <c r="I5" s="6">
        <f>G5</f>
        <v/>
      </c>
      <c r="J5" s="17">
        <f>ROUND(MAX(H5,G5*(1+'설정'!$B$8)),-2)</f>
        <v/>
      </c>
      <c r="K5" s="14">
        <f>J5-G5</f>
        <v/>
      </c>
      <c r="L5" s="18">
        <f>IF(J5=0,0,K5/J5)</f>
        <v/>
      </c>
      <c r="M5" s="8">
        <f>IF(H5&lt;G5,"⚠️시세&lt;원가:공급가 재협상",IF(J5&gt;H5,"권장가&gt;시세(마진확보↑)","✅시세 매칭 OK"))</f>
        <v/>
      </c>
    </row>
    <row r="6">
      <c r="A6" s="13" t="inlineStr">
        <is>
          <t>3kg</t>
        </is>
      </c>
      <c r="B6" s="13" t="inlineStr">
        <is>
          <t>2.5kg</t>
        </is>
      </c>
      <c r="C6" s="3" t="n">
        <v>6000</v>
      </c>
      <c r="D6" s="14">
        <f>'설정'!$B$7</f>
        <v/>
      </c>
      <c r="E6" s="14">
        <f>'설정'!$B$6</f>
        <v/>
      </c>
      <c r="F6" s="6">
        <f>'설정'!$B$5</f>
        <v/>
      </c>
      <c r="G6" s="15">
        <f>C6+D6+E6+F6</f>
        <v/>
      </c>
      <c r="H6" s="16" t="n">
        <v>9800</v>
      </c>
      <c r="I6" s="6">
        <f>G6</f>
        <v/>
      </c>
      <c r="J6" s="17">
        <f>ROUND(MAX(H6,G6*(1+'설정'!$B$8)),-2)</f>
        <v/>
      </c>
      <c r="K6" s="14">
        <f>J6-G6</f>
        <v/>
      </c>
      <c r="L6" s="18">
        <f>IF(J6=0,0,K6/J6)</f>
        <v/>
      </c>
      <c r="M6" s="8">
        <f>IF(H6&lt;G6,"⚠️시세&lt;원가:공급가 재협상",IF(J6&gt;H6,"권장가&gt;시세(마진확보↑)","✅시세 매칭 OK"))</f>
        <v/>
      </c>
    </row>
    <row r="7">
      <c r="A7" s="13" t="inlineStr">
        <is>
          <t>4kg</t>
        </is>
      </c>
      <c r="B7" s="13" t="inlineStr">
        <is>
          <t>3.5kg</t>
        </is>
      </c>
      <c r="C7" s="3" t="n">
        <v>7500</v>
      </c>
      <c r="D7" s="14">
        <f>'설정'!$B$7</f>
        <v/>
      </c>
      <c r="E7" s="14">
        <f>'설정'!$B$6</f>
        <v/>
      </c>
      <c r="F7" s="6">
        <f>'설정'!$B$5</f>
        <v/>
      </c>
      <c r="G7" s="15">
        <f>C7+D7+E7+F7</f>
        <v/>
      </c>
      <c r="H7" s="16" t="n">
        <v>12400</v>
      </c>
      <c r="I7" s="6">
        <f>G7</f>
        <v/>
      </c>
      <c r="J7" s="17">
        <f>ROUND(MAX(H7,G7*(1+'설정'!$B$8)),-2)</f>
        <v/>
      </c>
      <c r="K7" s="14">
        <f>J7-G7</f>
        <v/>
      </c>
      <c r="L7" s="18">
        <f>IF(J7=0,0,K7/J7)</f>
        <v/>
      </c>
      <c r="M7" s="8">
        <f>IF(H7&lt;G7,"⚠️시세&lt;원가:공급가 재협상",IF(J7&gt;H7,"권장가&gt;시세(마진확보↑)","✅시세 매칭 OK"))</f>
        <v/>
      </c>
    </row>
    <row r="8">
      <c r="A8" s="13" t="inlineStr">
        <is>
          <t>5kg</t>
        </is>
      </c>
      <c r="B8" s="13" t="inlineStr">
        <is>
          <t>4.5kg</t>
        </is>
      </c>
      <c r="C8" s="3" t="n">
        <v>9000</v>
      </c>
      <c r="D8" s="14">
        <f>'설정'!$B$7</f>
        <v/>
      </c>
      <c r="E8" s="14">
        <f>'설정'!$B$6</f>
        <v/>
      </c>
      <c r="F8" s="6">
        <f>'설정'!$B$5</f>
        <v/>
      </c>
      <c r="G8" s="15">
        <f>C8+D8+E8+F8</f>
        <v/>
      </c>
      <c r="H8" s="16" t="n">
        <v>14500</v>
      </c>
      <c r="I8" s="6">
        <f>G8</f>
        <v/>
      </c>
      <c r="J8" s="17">
        <f>ROUND(MAX(H8,G8*(1+'설정'!$B$8)),-2)</f>
        <v/>
      </c>
      <c r="K8" s="14">
        <f>J8-G8</f>
        <v/>
      </c>
      <c r="L8" s="18">
        <f>IF(J8=0,0,K8/J8)</f>
        <v/>
      </c>
      <c r="M8" s="8">
        <f>IF(H8&lt;G8,"⚠️시세&lt;원가:공급가 재협상",IF(J8&gt;H8,"권장가&gt;시세(마진확보↑)","✅시세 매칭 OK"))</f>
        <v/>
      </c>
    </row>
    <row r="9">
      <c r="A9" s="13" t="inlineStr">
        <is>
          <t>8kg</t>
        </is>
      </c>
      <c r="B9" s="13" t="inlineStr">
        <is>
          <t>7.5kg</t>
        </is>
      </c>
      <c r="C9" s="3" t="n">
        <v>13000</v>
      </c>
      <c r="D9" s="14">
        <f>'설정'!$B$7</f>
        <v/>
      </c>
      <c r="E9" s="14">
        <f>'설정'!$B$6</f>
        <v/>
      </c>
      <c r="F9" s="6">
        <f>'설정'!$B$5</f>
        <v/>
      </c>
      <c r="G9" s="15">
        <f>C9+D9+E9+F9</f>
        <v/>
      </c>
      <c r="H9" s="16" t="n">
        <v>18900</v>
      </c>
      <c r="I9" s="6">
        <f>G9</f>
        <v/>
      </c>
      <c r="J9" s="17">
        <f>ROUND(MAX(H9,G9*(1+'설정'!$B$8)),-2)</f>
        <v/>
      </c>
      <c r="K9" s="14">
        <f>J9-G9</f>
        <v/>
      </c>
      <c r="L9" s="18">
        <f>IF(J9=0,0,K9/J9)</f>
        <v/>
      </c>
      <c r="M9" s="8">
        <f>IF(H9&lt;G9,"⚠️시세&lt;원가:공급가 재협상",IF(J9&gt;H9,"권장가&gt;시세(마진확보↑)","✅시세 매칭 OK"))</f>
        <v/>
      </c>
    </row>
    <row r="10">
      <c r="A10" s="13" t="inlineStr">
        <is>
          <t>10kg</t>
        </is>
      </c>
      <c r="B10" s="13" t="inlineStr">
        <is>
          <t>9kg</t>
        </is>
      </c>
      <c r="C10" s="3" t="n">
        <v>16000</v>
      </c>
      <c r="D10" s="14">
        <f>'설정'!$B$7</f>
        <v/>
      </c>
      <c r="E10" s="14">
        <f>'설정'!$B$6</f>
        <v/>
      </c>
      <c r="F10" s="6">
        <f>'설정'!$B$5</f>
        <v/>
      </c>
      <c r="G10" s="15">
        <f>C10+D10+E10+F10</f>
        <v/>
      </c>
      <c r="H10" s="16" t="n">
        <v>24400</v>
      </c>
      <c r="I10" s="6">
        <f>G10</f>
        <v/>
      </c>
      <c r="J10" s="17">
        <f>ROUND(MAX(H10,G10*(1+'설정'!$B$8)),-2)</f>
        <v/>
      </c>
      <c r="K10" s="14">
        <f>J10-G10</f>
        <v/>
      </c>
      <c r="L10" s="18">
        <f>IF(J10=0,0,K10/J10)</f>
        <v/>
      </c>
      <c r="M10" s="8">
        <f>IF(H10&lt;G10,"⚠️시세&lt;원가:공급가 재협상",IF(J10&gt;H10,"권장가&gt;시세(마진확보↑)","✅시세 매칭 OK"))</f>
        <v/>
      </c>
    </row>
  </sheetData>
  <mergeCells count="2">
    <mergeCell ref="A2:M2"/>
    <mergeCell ref="A1:M1"/>
  </mergeCells>
  <conditionalFormatting sqref="K4:K10">
    <cfRule type="cellIs" priority="1" operator="lessThan" dxfId="0">
      <formula>0</formula>
    </cfRule>
  </conditionalFormatting>
  <conditionalFormatting sqref="L4:L10"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4" customWidth="1" min="8" max="8"/>
    <col width="11" customWidth="1" min="9" max="9"/>
    <col width="12" customWidth="1" min="10" max="10"/>
    <col width="11" customWidth="1" min="11" max="11"/>
    <col width="9" customWidth="1" min="12" max="12"/>
    <col width="22" customWidth="1" min="13" max="13"/>
  </cols>
  <sheetData>
    <row r="1" ht="24" customHeight="1">
      <c r="A1" s="1" t="inlineStr">
        <is>
          <t>🥕 홍감자 — 당근 마진계산</t>
        </is>
      </c>
    </row>
    <row r="2">
      <c r="A2" s="11" t="inlineStr">
        <is>
          <t>❗파일에 데이터 없음 → 🟡공급가와 🟦시세 모두 추정/입력 필요. 실제 매입가·쿠팡 시세 확인 후 덮어쓰기.</t>
        </is>
      </c>
    </row>
    <row r="3">
      <c r="A3" s="12" t="inlineStr">
        <is>
          <t>옵션</t>
        </is>
      </c>
      <c r="B3" s="12" t="inlineStr">
        <is>
          <t>실중량</t>
        </is>
      </c>
      <c r="C3" s="12" t="inlineStr">
        <is>
          <t>공급가</t>
        </is>
      </c>
      <c r="D3" s="12" t="inlineStr">
        <is>
          <t>택배비</t>
        </is>
      </c>
      <c r="E3" s="12" t="inlineStr">
        <is>
          <t>포장비</t>
        </is>
      </c>
      <c r="F3" s="12" t="inlineStr">
        <is>
          <t>건당광고비</t>
        </is>
      </c>
      <c r="G3" s="12" t="inlineStr">
        <is>
          <t>총원가</t>
        </is>
      </c>
      <c r="H3" s="12" t="inlineStr">
        <is>
          <t>시중시세(쿠팡)</t>
        </is>
      </c>
      <c r="I3" s="12" t="inlineStr">
        <is>
          <t>손익분기가</t>
        </is>
      </c>
      <c r="J3" s="12" t="inlineStr">
        <is>
          <t>당근권장가</t>
        </is>
      </c>
      <c r="K3" s="12" t="inlineStr">
        <is>
          <t>마진(원)</t>
        </is>
      </c>
      <c r="L3" s="12" t="inlineStr">
        <is>
          <t>마진율</t>
        </is>
      </c>
      <c r="M3" s="12" t="inlineStr">
        <is>
          <t>비고</t>
        </is>
      </c>
    </row>
    <row r="4">
      <c r="A4" s="13" t="inlineStr">
        <is>
          <t>3kg</t>
        </is>
      </c>
      <c r="B4" s="13" t="inlineStr"/>
      <c r="C4" s="3" t="n">
        <v>7000</v>
      </c>
      <c r="D4" s="14">
        <f>'설정'!$B$7</f>
        <v/>
      </c>
      <c r="E4" s="14">
        <f>'설정'!$B$6</f>
        <v/>
      </c>
      <c r="F4" s="6">
        <f>'설정'!$B$5</f>
        <v/>
      </c>
      <c r="G4" s="15">
        <f>C4+D4+E4+F4</f>
        <v/>
      </c>
      <c r="H4" s="16" t="n">
        <v>12000</v>
      </c>
      <c r="I4" s="6">
        <f>G4</f>
        <v/>
      </c>
      <c r="J4" s="17">
        <f>ROUND(MAX(H4,G4*(1+'설정'!$B$8)),-2)</f>
        <v/>
      </c>
      <c r="K4" s="14">
        <f>J4-G4</f>
        <v/>
      </c>
      <c r="L4" s="18">
        <f>IF(J4=0,0,K4/J4)</f>
        <v/>
      </c>
      <c r="M4" s="8">
        <f>IF(H4&lt;G4,"⚠️시세&lt;원가:공급가 재협상",IF(J4&gt;H4,"권장가&gt;시세(마진확보↑)","✅시세 매칭 OK"))</f>
        <v/>
      </c>
    </row>
    <row r="5">
      <c r="A5" s="13" t="inlineStr">
        <is>
          <t>5kg</t>
        </is>
      </c>
      <c r="B5" s="13" t="inlineStr"/>
      <c r="C5" s="3" t="n">
        <v>10000</v>
      </c>
      <c r="D5" s="14">
        <f>'설정'!$B$7</f>
        <v/>
      </c>
      <c r="E5" s="14">
        <f>'설정'!$B$6</f>
        <v/>
      </c>
      <c r="F5" s="6">
        <f>'설정'!$B$5</f>
        <v/>
      </c>
      <c r="G5" s="15">
        <f>C5+D5+E5+F5</f>
        <v/>
      </c>
      <c r="H5" s="16" t="n">
        <v>17000</v>
      </c>
      <c r="I5" s="6">
        <f>G5</f>
        <v/>
      </c>
      <c r="J5" s="17">
        <f>ROUND(MAX(H5,G5*(1+'설정'!$B$8)),-2)</f>
        <v/>
      </c>
      <c r="K5" s="14">
        <f>J5-G5</f>
        <v/>
      </c>
      <c r="L5" s="18">
        <f>IF(J5=0,0,K5/J5)</f>
        <v/>
      </c>
      <c r="M5" s="8">
        <f>IF(H5&lt;G5,"⚠️시세&lt;원가:공급가 재협상",IF(J5&gt;H5,"권장가&gt;시세(마진확보↑)","✅시세 매칭 OK"))</f>
        <v/>
      </c>
    </row>
    <row r="6">
      <c r="A6" s="13" t="inlineStr">
        <is>
          <t>10kg</t>
        </is>
      </c>
      <c r="B6" s="13" t="inlineStr"/>
      <c r="C6" s="3" t="n">
        <v>18000</v>
      </c>
      <c r="D6" s="14">
        <f>'설정'!$B$7</f>
        <v/>
      </c>
      <c r="E6" s="14">
        <f>'설정'!$B$6</f>
        <v/>
      </c>
      <c r="F6" s="6">
        <f>'설정'!$B$5</f>
        <v/>
      </c>
      <c r="G6" s="15">
        <f>C6+D6+E6+F6</f>
        <v/>
      </c>
      <c r="H6" s="16" t="n">
        <v>28000</v>
      </c>
      <c r="I6" s="6">
        <f>G6</f>
        <v/>
      </c>
      <c r="J6" s="17">
        <f>ROUND(MAX(H6,G6*(1+'설정'!$B$8)),-2)</f>
        <v/>
      </c>
      <c r="K6" s="14">
        <f>J6-G6</f>
        <v/>
      </c>
      <c r="L6" s="18">
        <f>IF(J6=0,0,K6/J6)</f>
        <v/>
      </c>
      <c r="M6" s="8">
        <f>IF(H6&lt;G6,"⚠️시세&lt;원가:공급가 재협상",IF(J6&gt;H6,"권장가&gt;시세(마진확보↑)","✅시세 매칭 OK"))</f>
        <v/>
      </c>
    </row>
  </sheetData>
  <mergeCells count="2">
    <mergeCell ref="A2:M2"/>
    <mergeCell ref="A1:M1"/>
  </mergeCells>
  <conditionalFormatting sqref="K4:K6">
    <cfRule type="cellIs" priority="1" operator="lessThan" dxfId="0">
      <formula>0</formula>
    </cfRule>
  </conditionalFormatting>
  <conditionalFormatting sqref="L4:L6"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4" customWidth="1" min="8" max="8"/>
    <col width="11" customWidth="1" min="9" max="9"/>
    <col width="12" customWidth="1" min="10" max="10"/>
    <col width="11" customWidth="1" min="11" max="11"/>
    <col width="9" customWidth="1" min="12" max="12"/>
    <col width="22" customWidth="1" min="13" max="13"/>
  </cols>
  <sheetData>
    <row r="1" ht="24" customHeight="1">
      <c r="A1" s="1" t="inlineStr">
        <is>
          <t>🥕 콜라비 — 당근 마진계산</t>
        </is>
      </c>
    </row>
    <row r="2">
      <c r="A2" s="19" t="inlineStr">
        <is>
          <t>🟩공급가 확정(소싱현황). 시세=최종쿠폰가(쿠팡). 데이터 근거 있는 품목.</t>
        </is>
      </c>
    </row>
    <row r="3">
      <c r="A3" s="12" t="inlineStr">
        <is>
          <t>옵션</t>
        </is>
      </c>
      <c r="B3" s="12" t="inlineStr">
        <is>
          <t>실중량</t>
        </is>
      </c>
      <c r="C3" s="12" t="inlineStr">
        <is>
          <t>공급가</t>
        </is>
      </c>
      <c r="D3" s="12" t="inlineStr">
        <is>
          <t>택배비</t>
        </is>
      </c>
      <c r="E3" s="12" t="inlineStr">
        <is>
          <t>포장비</t>
        </is>
      </c>
      <c r="F3" s="12" t="inlineStr">
        <is>
          <t>건당광고비</t>
        </is>
      </c>
      <c r="G3" s="12" t="inlineStr">
        <is>
          <t>총원가</t>
        </is>
      </c>
      <c r="H3" s="12" t="inlineStr">
        <is>
          <t>시중시세(쿠팡)</t>
        </is>
      </c>
      <c r="I3" s="12" t="inlineStr">
        <is>
          <t>손익분기가</t>
        </is>
      </c>
      <c r="J3" s="12" t="inlineStr">
        <is>
          <t>당근권장가</t>
        </is>
      </c>
      <c r="K3" s="12" t="inlineStr">
        <is>
          <t>마진(원)</t>
        </is>
      </c>
      <c r="L3" s="12" t="inlineStr">
        <is>
          <t>마진율</t>
        </is>
      </c>
      <c r="M3" s="12" t="inlineStr">
        <is>
          <t>비고</t>
        </is>
      </c>
    </row>
    <row r="4">
      <c r="A4" s="13" t="inlineStr">
        <is>
          <t>3kg</t>
        </is>
      </c>
      <c r="B4" s="13" t="inlineStr"/>
      <c r="C4" s="20" t="n">
        <v>9500</v>
      </c>
      <c r="D4" s="14">
        <f>'설정'!$B$7</f>
        <v/>
      </c>
      <c r="E4" s="14">
        <f>'설정'!$B$6</f>
        <v/>
      </c>
      <c r="F4" s="6">
        <f>'설정'!$B$5</f>
        <v/>
      </c>
      <c r="G4" s="15">
        <f>C4+D4+E4+F4</f>
        <v/>
      </c>
      <c r="H4" s="16" t="n">
        <v>12420</v>
      </c>
      <c r="I4" s="6">
        <f>G4</f>
        <v/>
      </c>
      <c r="J4" s="17">
        <f>ROUND(MAX(H4,G4*(1+'설정'!$B$8)),-2)</f>
        <v/>
      </c>
      <c r="K4" s="14">
        <f>J4-G4</f>
        <v/>
      </c>
      <c r="L4" s="18">
        <f>IF(J4=0,0,K4/J4)</f>
        <v/>
      </c>
      <c r="M4" s="8">
        <f>IF(H4&lt;G4,"⚠️시세&lt;원가:공급가 재협상",IF(J4&gt;H4,"권장가&gt;시세(마진확보↑)","✅시세 매칭 OK"))</f>
        <v/>
      </c>
    </row>
    <row r="5">
      <c r="A5" s="13" t="inlineStr">
        <is>
          <t>5kg</t>
        </is>
      </c>
      <c r="B5" s="13" t="inlineStr"/>
      <c r="C5" s="20" t="n">
        <v>13200</v>
      </c>
      <c r="D5" s="14">
        <f>'설정'!$B$7</f>
        <v/>
      </c>
      <c r="E5" s="14">
        <f>'설정'!$B$6</f>
        <v/>
      </c>
      <c r="F5" s="6">
        <f>'설정'!$B$5</f>
        <v/>
      </c>
      <c r="G5" s="15">
        <f>C5+D5+E5+F5</f>
        <v/>
      </c>
      <c r="H5" s="16" t="n">
        <v>19050</v>
      </c>
      <c r="I5" s="6">
        <f>G5</f>
        <v/>
      </c>
      <c r="J5" s="17">
        <f>ROUND(MAX(H5,G5*(1+'설정'!$B$8)),-2)</f>
        <v/>
      </c>
      <c r="K5" s="14">
        <f>J5-G5</f>
        <v/>
      </c>
      <c r="L5" s="18">
        <f>IF(J5=0,0,K5/J5)</f>
        <v/>
      </c>
      <c r="M5" s="8">
        <f>IF(H5&lt;G5,"⚠️시세&lt;원가:공급가 재협상",IF(J5&gt;H5,"권장가&gt;시세(마진확보↑)","✅시세 매칭 OK"))</f>
        <v/>
      </c>
    </row>
    <row r="6">
      <c r="A6" s="13" t="inlineStr">
        <is>
          <t>10kg</t>
        </is>
      </c>
      <c r="B6" s="13" t="inlineStr"/>
      <c r="C6" s="20" t="n">
        <v>22700</v>
      </c>
      <c r="D6" s="14">
        <f>'설정'!$B$7</f>
        <v/>
      </c>
      <c r="E6" s="14">
        <f>'설정'!$B$6</f>
        <v/>
      </c>
      <c r="F6" s="6">
        <f>'설정'!$B$5</f>
        <v/>
      </c>
      <c r="G6" s="15">
        <f>C6+D6+E6+F6</f>
        <v/>
      </c>
      <c r="H6" s="16" t="n">
        <v>29390</v>
      </c>
      <c r="I6" s="6">
        <f>G6</f>
        <v/>
      </c>
      <c r="J6" s="17">
        <f>ROUND(MAX(H6,G6*(1+'설정'!$B$8)),-2)</f>
        <v/>
      </c>
      <c r="K6" s="14">
        <f>J6-G6</f>
        <v/>
      </c>
      <c r="L6" s="18">
        <f>IF(J6=0,0,K6/J6)</f>
        <v/>
      </c>
      <c r="M6" s="8">
        <f>IF(H6&lt;G6,"⚠️시세&lt;원가:공급가 재협상",IF(J6&gt;H6,"권장가&gt;시세(마진확보↑)","✅시세 매칭 OK"))</f>
        <v/>
      </c>
    </row>
  </sheetData>
  <mergeCells count="2">
    <mergeCell ref="A2:M2"/>
    <mergeCell ref="A1:M1"/>
  </mergeCells>
  <conditionalFormatting sqref="K4:K6">
    <cfRule type="cellIs" priority="1" operator="lessThan" dxfId="0">
      <formula>0</formula>
    </cfRule>
  </conditionalFormatting>
  <conditionalFormatting sqref="L4:L6"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4" customWidth="1" min="8" max="8"/>
    <col width="11" customWidth="1" min="9" max="9"/>
    <col width="12" customWidth="1" min="10" max="10"/>
    <col width="11" customWidth="1" min="11" max="11"/>
    <col width="9" customWidth="1" min="12" max="12"/>
    <col width="22" customWidth="1" min="13" max="13"/>
  </cols>
  <sheetData>
    <row r="1" ht="24" customHeight="1">
      <c r="A1" s="1" t="inlineStr">
        <is>
          <t>🥕 쥬얼리프룻(제주다팜) — 당근 마진계산</t>
        </is>
      </c>
    </row>
    <row r="2">
      <c r="A2" s="19" t="inlineStr">
        <is>
          <t>🟩공급가(vip) 확정. 시세=쿠팡 쿠폰가. 쿠팡선 11.66%수수료로 5kg 마진 음수였으나, 당근은 수수료0이라 개선됨.</t>
        </is>
      </c>
    </row>
    <row r="3">
      <c r="A3" s="12" t="inlineStr">
        <is>
          <t>옵션</t>
        </is>
      </c>
      <c r="B3" s="12" t="inlineStr">
        <is>
          <t>실중량</t>
        </is>
      </c>
      <c r="C3" s="12" t="inlineStr">
        <is>
          <t>공급가</t>
        </is>
      </c>
      <c r="D3" s="12" t="inlineStr">
        <is>
          <t>택배비</t>
        </is>
      </c>
      <c r="E3" s="12" t="inlineStr">
        <is>
          <t>포장비</t>
        </is>
      </c>
      <c r="F3" s="12" t="inlineStr">
        <is>
          <t>건당광고비</t>
        </is>
      </c>
      <c r="G3" s="12" t="inlineStr">
        <is>
          <t>총원가</t>
        </is>
      </c>
      <c r="H3" s="12" t="inlineStr">
        <is>
          <t>시중시세(쿠팡)</t>
        </is>
      </c>
      <c r="I3" s="12" t="inlineStr">
        <is>
          <t>손익분기가</t>
        </is>
      </c>
      <c r="J3" s="12" t="inlineStr">
        <is>
          <t>당근권장가</t>
        </is>
      </c>
      <c r="K3" s="12" t="inlineStr">
        <is>
          <t>마진(원)</t>
        </is>
      </c>
      <c r="L3" s="12" t="inlineStr">
        <is>
          <t>마진율</t>
        </is>
      </c>
      <c r="M3" s="12" t="inlineStr">
        <is>
          <t>비고</t>
        </is>
      </c>
    </row>
    <row r="4">
      <c r="A4" s="13" t="inlineStr">
        <is>
          <t>1kg정품</t>
        </is>
      </c>
      <c r="B4" s="13" t="inlineStr"/>
      <c r="C4" s="20" t="n">
        <v>5600</v>
      </c>
      <c r="D4" s="14">
        <f>'설정'!$B$7</f>
        <v/>
      </c>
      <c r="E4" s="14">
        <f>'설정'!$B$6</f>
        <v/>
      </c>
      <c r="F4" s="6">
        <f>'설정'!$B$5</f>
        <v/>
      </c>
      <c r="G4" s="15">
        <f>C4+D4+E4+F4</f>
        <v/>
      </c>
      <c r="H4" s="16" t="n">
        <v>10800</v>
      </c>
      <c r="I4" s="6">
        <f>G4</f>
        <v/>
      </c>
      <c r="J4" s="17">
        <f>ROUND(MAX(H4,G4*(1+'설정'!$B$8)),-2)</f>
        <v/>
      </c>
      <c r="K4" s="14">
        <f>J4-G4</f>
        <v/>
      </c>
      <c r="L4" s="18">
        <f>IF(J4=0,0,K4/J4)</f>
        <v/>
      </c>
      <c r="M4" s="8">
        <f>IF(H4&lt;G4,"⚠️시세&lt;원가:공급가 재협상",IF(J4&gt;H4,"권장가&gt;시세(마진확보↑)","✅시세 매칭 OK"))</f>
        <v/>
      </c>
    </row>
    <row r="5">
      <c r="A5" s="13" t="inlineStr">
        <is>
          <t>2kg정품</t>
        </is>
      </c>
      <c r="B5" s="13" t="inlineStr"/>
      <c r="C5" s="20" t="n">
        <v>6900</v>
      </c>
      <c r="D5" s="14">
        <f>'설정'!$B$7</f>
        <v/>
      </c>
      <c r="E5" s="14">
        <f>'설정'!$B$6</f>
        <v/>
      </c>
      <c r="F5" s="6">
        <f>'설정'!$B$5</f>
        <v/>
      </c>
      <c r="G5" s="15">
        <f>C5+D5+E5+F5</f>
        <v/>
      </c>
      <c r="H5" s="16" t="n">
        <v>14800</v>
      </c>
      <c r="I5" s="6">
        <f>G5</f>
        <v/>
      </c>
      <c r="J5" s="17">
        <f>ROUND(MAX(H5,G5*(1+'설정'!$B$8)),-2)</f>
        <v/>
      </c>
      <c r="K5" s="14">
        <f>J5-G5</f>
        <v/>
      </c>
      <c r="L5" s="18">
        <f>IF(J5=0,0,K5/J5)</f>
        <v/>
      </c>
      <c r="M5" s="8">
        <f>IF(H5&lt;G5,"⚠️시세&lt;원가:공급가 재협상",IF(J5&gt;H5,"권장가&gt;시세(마진확보↑)","✅시세 매칭 OK"))</f>
        <v/>
      </c>
    </row>
    <row r="6">
      <c r="A6" s="13" t="inlineStr">
        <is>
          <t>3kg정품</t>
        </is>
      </c>
      <c r="B6" s="13" t="inlineStr"/>
      <c r="C6" s="20" t="n">
        <v>8800</v>
      </c>
      <c r="D6" s="14">
        <f>'설정'!$B$7</f>
        <v/>
      </c>
      <c r="E6" s="14">
        <f>'설정'!$B$6</f>
        <v/>
      </c>
      <c r="F6" s="6">
        <f>'설정'!$B$5</f>
        <v/>
      </c>
      <c r="G6" s="15">
        <f>C6+D6+E6+F6</f>
        <v/>
      </c>
      <c r="H6" s="16" t="n">
        <v>15800</v>
      </c>
      <c r="I6" s="6">
        <f>G6</f>
        <v/>
      </c>
      <c r="J6" s="17">
        <f>ROUND(MAX(H6,G6*(1+'설정'!$B$8)),-2)</f>
        <v/>
      </c>
      <c r="K6" s="14">
        <f>J6-G6</f>
        <v/>
      </c>
      <c r="L6" s="18">
        <f>IF(J6=0,0,K6/J6)</f>
        <v/>
      </c>
      <c r="M6" s="8">
        <f>IF(H6&lt;G6,"⚠️시세&lt;원가:공급가 재협상",IF(J6&gt;H6,"권장가&gt;시세(마진확보↑)","✅시세 매칭 OK"))</f>
        <v/>
      </c>
    </row>
    <row r="7">
      <c r="A7" s="13" t="inlineStr">
        <is>
          <t>5kg정품</t>
        </is>
      </c>
      <c r="B7" s="13" t="inlineStr"/>
      <c r="C7" s="20" t="n">
        <v>12750</v>
      </c>
      <c r="D7" s="14">
        <f>'설정'!$B$7</f>
        <v/>
      </c>
      <c r="E7" s="14">
        <f>'설정'!$B$6</f>
        <v/>
      </c>
      <c r="F7" s="6">
        <f>'설정'!$B$5</f>
        <v/>
      </c>
      <c r="G7" s="15">
        <f>C7+D7+E7+F7</f>
        <v/>
      </c>
      <c r="H7" s="16" t="n">
        <v>19800</v>
      </c>
      <c r="I7" s="6">
        <f>G7</f>
        <v/>
      </c>
      <c r="J7" s="17">
        <f>ROUND(MAX(H7,G7*(1+'설정'!$B$8)),-2)</f>
        <v/>
      </c>
      <c r="K7" s="14">
        <f>J7-G7</f>
        <v/>
      </c>
      <c r="L7" s="18">
        <f>IF(J7=0,0,K7/J7)</f>
        <v/>
      </c>
      <c r="M7" s="8">
        <f>IF(H7&lt;G7,"⚠️시세&lt;원가:공급가 재협상",IF(J7&gt;H7,"권장가&gt;시세(마진확보↑)","✅시세 매칭 OK"))</f>
        <v/>
      </c>
    </row>
    <row r="8">
      <c r="A8" s="13" t="inlineStr">
        <is>
          <t>10kg정품</t>
        </is>
      </c>
      <c r="B8" s="13" t="inlineStr"/>
      <c r="C8" s="20" t="n">
        <v>21300</v>
      </c>
      <c r="D8" s="14">
        <f>'설정'!$B$7</f>
        <v/>
      </c>
      <c r="E8" s="14">
        <f>'설정'!$B$6</f>
        <v/>
      </c>
      <c r="F8" s="6">
        <f>'설정'!$B$5</f>
        <v/>
      </c>
      <c r="G8" s="15">
        <f>C8+D8+E8+F8</f>
        <v/>
      </c>
      <c r="H8" s="16" t="n">
        <v>38800</v>
      </c>
      <c r="I8" s="6">
        <f>G8</f>
        <v/>
      </c>
      <c r="J8" s="17">
        <f>ROUND(MAX(H8,G8*(1+'설정'!$B$8)),-2)</f>
        <v/>
      </c>
      <c r="K8" s="14">
        <f>J8-G8</f>
        <v/>
      </c>
      <c r="L8" s="18">
        <f>IF(J8=0,0,K8/J8)</f>
        <v/>
      </c>
      <c r="M8" s="8">
        <f>IF(H8&lt;G8,"⚠️시세&lt;원가:공급가 재협상",IF(J8&gt;H8,"권장가&gt;시세(마진확보↑)","✅시세 매칭 OK"))</f>
        <v/>
      </c>
    </row>
  </sheetData>
  <mergeCells count="2">
    <mergeCell ref="A2:M2"/>
    <mergeCell ref="A1:M1"/>
  </mergeCells>
  <conditionalFormatting sqref="K4:K8">
    <cfRule type="cellIs" priority="1" operator="lessThan" dxfId="0">
      <formula>0</formula>
    </cfRule>
  </conditionalFormatting>
  <conditionalFormatting sqref="L4:L8"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2026-06-23T10:26:02Z</dcterms:created>
  <dcterms:modified xsi:type="dcterms:W3CDTF">2026-06-23T10:26:02Z</dcterms:modified>
</cp:coreProperties>
</file>