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성주참외" sheetId="2" state="visible" r:id="rId2"/>
    <sheet name="대극천복숭아" sheetId="3" state="visible" r:id="rId3"/>
    <sheet name="미니밤호박(보우짱)" sheetId="4" state="visible" r:id="rId4"/>
    <sheet name="홍감자" sheetId="5" state="visible" r:id="rId5"/>
    <sheet name="콜라비" sheetId="6" state="visible" r:id="rId6"/>
    <sheet name="경쟁사비교(복숭아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color rgb="00808080"/>
      <sz val="9"/>
    </font>
    <font>
      <color rgb="00548235"/>
      <sz val="9"/>
    </font>
    <font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A9D08E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" fontId="0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4" fontId="2" fillId="8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52" customWidth="1" min="3" max="3"/>
  </cols>
  <sheetData>
    <row r="1" ht="24" customHeight="1">
      <c r="A1" s="1" t="inlineStr">
        <is>
          <t>🥕 당근 마진계산기 — 설정</t>
        </is>
      </c>
    </row>
    <row r="3">
      <c r="A3" s="2" t="inlineStr">
        <is>
          <t>광고비 (원/일)</t>
        </is>
      </c>
      <c r="B3" s="3" t="n">
        <v>40000</v>
      </c>
      <c r="C3" s="4" t="inlineStr">
        <is>
          <t>하루 광고예산 3~5만원</t>
        </is>
      </c>
    </row>
    <row r="4">
      <c r="A4" s="2" t="inlineStr">
        <is>
          <t>예상 일 판매건수 (건/일)</t>
        </is>
      </c>
      <c r="B4" s="5" t="n">
        <v>20</v>
      </c>
      <c r="C4" s="4" t="inlineStr">
        <is>
          <t>이 광고로 하루 몇 건 팔지 가정</t>
        </is>
      </c>
    </row>
    <row r="5">
      <c r="A5" s="2" t="inlineStr">
        <is>
          <t>→ 건당 광고비 (자동)</t>
        </is>
      </c>
      <c r="B5" s="6">
        <f>B3/B4</f>
        <v/>
      </c>
      <c r="C5" s="4" t="inlineStr">
        <is>
          <t>광고비÷판매건수</t>
        </is>
      </c>
    </row>
    <row r="6">
      <c r="A6" s="2" t="inlineStr">
        <is>
          <t>당근 판매수수료율</t>
        </is>
      </c>
      <c r="B6" s="7" t="n">
        <v>0.033</v>
      </c>
      <c r="C6" s="4" t="inlineStr">
        <is>
          <t>당근페이/비즈 결제수수료 3.3%</t>
        </is>
      </c>
    </row>
    <row r="7">
      <c r="A7" s="2" t="inlineStr">
        <is>
          <t>목표 최소 마진율</t>
        </is>
      </c>
      <c r="B7" s="7" t="n">
        <v>0.15</v>
      </c>
      <c r="C7" s="4" t="inlineStr">
        <is>
          <t>이 아래로는 권장가 안 내려감</t>
        </is>
      </c>
    </row>
    <row r="8">
      <c r="A8" s="8" t="inlineStr"/>
    </row>
    <row r="9">
      <c r="A9" s="2" t="inlineStr">
        <is>
          <t>── 사용법 ──────────────────────</t>
        </is>
      </c>
    </row>
    <row r="10">
      <c r="A10" s="8" t="inlineStr">
        <is>
          <t>• 공급가='택배비·박스포장 포함'(직출고). 추가비용 = 건당광고비 + 당근수수료 3.3%.</t>
        </is>
      </c>
    </row>
    <row r="11">
      <c r="A11" s="8" t="inlineStr">
        <is>
          <t>• 마진 = 판매가×(1-3.3%) − 공급가 − 광고비.</t>
        </is>
      </c>
    </row>
    <row r="12">
      <c r="A12" s="8" t="inlineStr">
        <is>
          <t>• 당근권장가 = 시세에 맞추되, [원가+광고]를 (1-수수료-목표마진)으로 나눈 값 밑으론 안 내려감 = 손해 0.</t>
        </is>
      </c>
    </row>
    <row r="13">
      <c r="A13" s="8" t="inlineStr">
        <is>
          <t>• '마진' 빨강(음수)·'⚠️시세&lt;손익분기' = 시세론 손해 → 등급↑/대용량으로.</t>
        </is>
      </c>
    </row>
    <row r="14">
      <c r="A14" s="8" t="inlineStr">
        <is>
          <t>• 일 판매건수↑ → 건당광고비↓ → 마진↑ (광고효율이 핵심 레버).</t>
        </is>
      </c>
    </row>
    <row r="15">
      <c r="A15" s="8" t="inlineStr"/>
    </row>
    <row r="16">
      <c r="A16" s="2" t="inlineStr">
        <is>
          <t>🟩공급가=실제 매입가(사진)  🟦시세=쿠팡/오아시스  🟧권장판매가  🟡노랑=조정칸</t>
        </is>
      </c>
    </row>
  </sheetData>
  <mergeCells count="10">
    <mergeCell ref="A10:C10"/>
    <mergeCell ref="A13:C13"/>
    <mergeCell ref="A11:C11"/>
    <mergeCell ref="A1:C1"/>
    <mergeCell ref="A8:C8"/>
    <mergeCell ref="A14:C14"/>
    <mergeCell ref="A9:C9"/>
    <mergeCell ref="A12:C12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성주참외 — 당근 마진계산 (수수료 3.3% 반영)</t>
        </is>
      </c>
    </row>
    <row r="2">
      <c r="A2" s="9" t="inlineStr">
        <is>
          <t>🟩공급가 실측(사진,롯데택배·박스포장 완충제 포함). 시세=쿠팡 시장조사. 실중량 2kg→1.5/3kg→2.5/5kg→4.5/10kg→9kg.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로얄과</t>
        </is>
      </c>
      <c r="B4" s="11" t="inlineStr">
        <is>
          <t>1kg</t>
        </is>
      </c>
      <c r="C4" s="11" t="inlineStr"/>
      <c r="D4" s="12" t="n">
        <v>4800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12900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로얄과</t>
        </is>
      </c>
      <c r="B5" s="11" t="inlineStr">
        <is>
          <t>2kg</t>
        </is>
      </c>
      <c r="C5" s="11" t="inlineStr">
        <is>
          <t>1.5kg</t>
        </is>
      </c>
      <c r="D5" s="12" t="n">
        <v>5900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21900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로얄과</t>
        </is>
      </c>
      <c r="B6" s="11" t="inlineStr">
        <is>
          <t>3kg</t>
        </is>
      </c>
      <c r="C6" s="11" t="inlineStr">
        <is>
          <t>2.5kg</t>
        </is>
      </c>
      <c r="D6" s="12" t="n">
        <v>7350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26900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로얄과</t>
        </is>
      </c>
      <c r="B7" s="11" t="inlineStr">
        <is>
          <t>5kg</t>
        </is>
      </c>
      <c r="C7" s="11" t="inlineStr">
        <is>
          <t>4.5kg</t>
        </is>
      </c>
      <c r="D7" s="12" t="n">
        <v>10500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38800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1" t="inlineStr">
        <is>
          <t>로얄과</t>
        </is>
      </c>
      <c r="B8" s="11" t="inlineStr">
        <is>
          <t>10kg</t>
        </is>
      </c>
      <c r="C8" s="11" t="inlineStr">
        <is>
          <t>9kg</t>
        </is>
      </c>
      <c r="D8" s="12" t="n">
        <v>16900</v>
      </c>
      <c r="E8" s="6">
        <f>'설정'!$B$5</f>
        <v/>
      </c>
      <c r="F8" s="6">
        <f>J8*'설정'!$B$6</f>
        <v/>
      </c>
      <c r="G8" s="13">
        <f>D8+E8+F8</f>
        <v/>
      </c>
      <c r="H8" s="14" t="n">
        <v>59000</v>
      </c>
      <c r="I8" s="6">
        <f>ROUND((D8+E8)/(1-'설정'!$B$6),-2)</f>
        <v/>
      </c>
      <c r="J8" s="15">
        <f>ROUND(MAX(H8,(D8+E8)/(1-'설정'!$B$6-'설정'!$B$7)),-2)</f>
        <v/>
      </c>
      <c r="K8" s="16">
        <f>J8-G8</f>
        <v/>
      </c>
      <c r="L8" s="17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1" t="inlineStr">
        <is>
          <t>소과</t>
        </is>
      </c>
      <c r="B9" s="11" t="inlineStr">
        <is>
          <t>1kg</t>
        </is>
      </c>
      <c r="C9" s="11" t="inlineStr"/>
      <c r="D9" s="12" t="n">
        <v>4600</v>
      </c>
      <c r="E9" s="6">
        <f>'설정'!$B$5</f>
        <v/>
      </c>
      <c r="F9" s="6">
        <f>J9*'설정'!$B$6</f>
        <v/>
      </c>
      <c r="G9" s="13">
        <f>D9+E9+F9</f>
        <v/>
      </c>
      <c r="H9" s="14" t="n">
        <v>10900</v>
      </c>
      <c r="I9" s="6">
        <f>ROUND((D9+E9)/(1-'설정'!$B$6),-2)</f>
        <v/>
      </c>
      <c r="J9" s="15">
        <f>ROUND(MAX(H9,(D9+E9)/(1-'설정'!$B$6-'설정'!$B$7)),-2)</f>
        <v/>
      </c>
      <c r="K9" s="16">
        <f>J9-G9</f>
        <v/>
      </c>
      <c r="L9" s="17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1" t="inlineStr">
        <is>
          <t>소과</t>
        </is>
      </c>
      <c r="B10" s="11" t="inlineStr">
        <is>
          <t>2kg</t>
        </is>
      </c>
      <c r="C10" s="11" t="inlineStr">
        <is>
          <t>1.5kg</t>
        </is>
      </c>
      <c r="D10" s="12" t="n">
        <v>5600</v>
      </c>
      <c r="E10" s="6">
        <f>'설정'!$B$5</f>
        <v/>
      </c>
      <c r="F10" s="6">
        <f>J10*'설정'!$B$6</f>
        <v/>
      </c>
      <c r="G10" s="13">
        <f>D10+E10+F10</f>
        <v/>
      </c>
      <c r="H10" s="14" t="n">
        <v>18900</v>
      </c>
      <c r="I10" s="6">
        <f>ROUND((D10+E10)/(1-'설정'!$B$6),-2)</f>
        <v/>
      </c>
      <c r="J10" s="15">
        <f>ROUND(MAX(H10,(D10+E10)/(1-'설정'!$B$6-'설정'!$B$7)),-2)</f>
        <v/>
      </c>
      <c r="K10" s="16">
        <f>J10-G10</f>
        <v/>
      </c>
      <c r="L10" s="17">
        <f>IF(J10=0,0,K10/J10)</f>
        <v/>
      </c>
      <c r="M10" s="8">
        <f>IF(H10&lt;I10,"⚠️시세&lt;손익분기:손해",IF(J10&gt;H10,"권장가&gt;시세(마진확보↑)","✅시세매칭 OK"))</f>
        <v/>
      </c>
    </row>
    <row r="11">
      <c r="A11" s="11" t="inlineStr">
        <is>
          <t>소과</t>
        </is>
      </c>
      <c r="B11" s="11" t="inlineStr">
        <is>
          <t>3kg</t>
        </is>
      </c>
      <c r="C11" s="11" t="inlineStr">
        <is>
          <t>2.5kg</t>
        </is>
      </c>
      <c r="D11" s="12" t="n">
        <v>6850</v>
      </c>
      <c r="E11" s="6">
        <f>'설정'!$B$5</f>
        <v/>
      </c>
      <c r="F11" s="6">
        <f>J11*'설정'!$B$6</f>
        <v/>
      </c>
      <c r="G11" s="13">
        <f>D11+E11+F11</f>
        <v/>
      </c>
      <c r="H11" s="14" t="n">
        <v>19800</v>
      </c>
      <c r="I11" s="6">
        <f>ROUND((D11+E11)/(1-'설정'!$B$6),-2)</f>
        <v/>
      </c>
      <c r="J11" s="15">
        <f>ROUND(MAX(H11,(D11+E11)/(1-'설정'!$B$6-'설정'!$B$7)),-2)</f>
        <v/>
      </c>
      <c r="K11" s="16">
        <f>J11-G11</f>
        <v/>
      </c>
      <c r="L11" s="17">
        <f>IF(J11=0,0,K11/J11)</f>
        <v/>
      </c>
      <c r="M11" s="8">
        <f>IF(H11&lt;I11,"⚠️시세&lt;손익분기:손해",IF(J11&gt;H11,"권장가&gt;시세(마진확보↑)","✅시세매칭 OK"))</f>
        <v/>
      </c>
    </row>
    <row r="12">
      <c r="A12" s="11" t="inlineStr">
        <is>
          <t>소과</t>
        </is>
      </c>
      <c r="B12" s="11" t="inlineStr">
        <is>
          <t>5kg</t>
        </is>
      </c>
      <c r="C12" s="11" t="inlineStr">
        <is>
          <t>4.5kg</t>
        </is>
      </c>
      <c r="D12" s="12" t="n">
        <v>9600</v>
      </c>
      <c r="E12" s="6">
        <f>'설정'!$B$5</f>
        <v/>
      </c>
      <c r="F12" s="6">
        <f>J12*'설정'!$B$6</f>
        <v/>
      </c>
      <c r="G12" s="13">
        <f>D12+E12+F12</f>
        <v/>
      </c>
      <c r="H12" s="14" t="n">
        <v>32000</v>
      </c>
      <c r="I12" s="6">
        <f>ROUND((D12+E12)/(1-'설정'!$B$6),-2)</f>
        <v/>
      </c>
      <c r="J12" s="15">
        <f>ROUND(MAX(H12,(D12+E12)/(1-'설정'!$B$6-'설정'!$B$7)),-2)</f>
        <v/>
      </c>
      <c r="K12" s="16">
        <f>J12-G12</f>
        <v/>
      </c>
      <c r="L12" s="17">
        <f>IF(J12=0,0,K12/J12)</f>
        <v/>
      </c>
      <c r="M12" s="8">
        <f>IF(H12&lt;I12,"⚠️시세&lt;손익분기:손해",IF(J12&gt;H12,"권장가&gt;시세(마진확보↑)","✅시세매칭 OK"))</f>
        <v/>
      </c>
    </row>
    <row r="13">
      <c r="A13" s="11" t="inlineStr">
        <is>
          <t>소과</t>
        </is>
      </c>
      <c r="B13" s="11" t="inlineStr">
        <is>
          <t>10kg</t>
        </is>
      </c>
      <c r="C13" s="11" t="inlineStr">
        <is>
          <t>9kg</t>
        </is>
      </c>
      <c r="D13" s="12" t="n">
        <v>15900</v>
      </c>
      <c r="E13" s="6">
        <f>'설정'!$B$5</f>
        <v/>
      </c>
      <c r="F13" s="6">
        <f>J13*'설정'!$B$6</f>
        <v/>
      </c>
      <c r="G13" s="13">
        <f>D13+E13+F13</f>
        <v/>
      </c>
      <c r="H13" s="14" t="n">
        <v>53000</v>
      </c>
      <c r="I13" s="6">
        <f>ROUND((D13+E13)/(1-'설정'!$B$6),-2)</f>
        <v/>
      </c>
      <c r="J13" s="15">
        <f>ROUND(MAX(H13,(D13+E13)/(1-'설정'!$B$6-'설정'!$B$7)),-2)</f>
        <v/>
      </c>
      <c r="K13" s="16">
        <f>J13-G13</f>
        <v/>
      </c>
      <c r="L13" s="17">
        <f>IF(J13=0,0,K13/J13)</f>
        <v/>
      </c>
      <c r="M13" s="8">
        <f>IF(H13&lt;I13,"⚠️시세&lt;손익분기:손해",IF(J13&gt;H13,"권장가&gt;시세(마진확보↑)","✅시세매칭 OK"))</f>
        <v/>
      </c>
    </row>
    <row r="14">
      <c r="A14" s="11" t="inlineStr">
        <is>
          <t>가성비혼합</t>
        </is>
      </c>
      <c r="B14" s="11" t="inlineStr">
        <is>
          <t>1kg</t>
        </is>
      </c>
      <c r="C14" s="11" t="inlineStr"/>
      <c r="D14" s="12" t="n">
        <v>4500</v>
      </c>
      <c r="E14" s="6">
        <f>'설정'!$B$5</f>
        <v/>
      </c>
      <c r="F14" s="6">
        <f>J14*'설정'!$B$6</f>
        <v/>
      </c>
      <c r="G14" s="13">
        <f>D14+E14+F14</f>
        <v/>
      </c>
      <c r="H14" s="14" t="n">
        <v>9900</v>
      </c>
      <c r="I14" s="6">
        <f>ROUND((D14+E14)/(1-'설정'!$B$6),-2)</f>
        <v/>
      </c>
      <c r="J14" s="15">
        <f>ROUND(MAX(H14,(D14+E14)/(1-'설정'!$B$6-'설정'!$B$7)),-2)</f>
        <v/>
      </c>
      <c r="K14" s="16">
        <f>J14-G14</f>
        <v/>
      </c>
      <c r="L14" s="17">
        <f>IF(J14=0,0,K14/J14)</f>
        <v/>
      </c>
      <c r="M14" s="8">
        <f>IF(H14&lt;I14,"⚠️시세&lt;손익분기:손해",IF(J14&gt;H14,"권장가&gt;시세(마진확보↑)","✅시세매칭 OK"))</f>
        <v/>
      </c>
    </row>
    <row r="15">
      <c r="A15" s="11" t="inlineStr">
        <is>
          <t>가성비혼합</t>
        </is>
      </c>
      <c r="B15" s="11" t="inlineStr">
        <is>
          <t>2kg</t>
        </is>
      </c>
      <c r="C15" s="11" t="inlineStr">
        <is>
          <t>1.5kg</t>
        </is>
      </c>
      <c r="D15" s="12" t="n">
        <v>5300</v>
      </c>
      <c r="E15" s="6">
        <f>'설정'!$B$5</f>
        <v/>
      </c>
      <c r="F15" s="6">
        <f>J15*'설정'!$B$6</f>
        <v/>
      </c>
      <c r="G15" s="13">
        <f>D15+E15+F15</f>
        <v/>
      </c>
      <c r="H15" s="14" t="n">
        <v>17900</v>
      </c>
      <c r="I15" s="6">
        <f>ROUND((D15+E15)/(1-'설정'!$B$6),-2)</f>
        <v/>
      </c>
      <c r="J15" s="15">
        <f>ROUND(MAX(H15,(D15+E15)/(1-'설정'!$B$6-'설정'!$B$7)),-2)</f>
        <v/>
      </c>
      <c r="K15" s="16">
        <f>J15-G15</f>
        <v/>
      </c>
      <c r="L15" s="17">
        <f>IF(J15=0,0,K15/J15)</f>
        <v/>
      </c>
      <c r="M15" s="8">
        <f>IF(H15&lt;I15,"⚠️시세&lt;손익분기:손해",IF(J15&gt;H15,"권장가&gt;시세(마진확보↑)","✅시세매칭 OK"))</f>
        <v/>
      </c>
    </row>
    <row r="16">
      <c r="A16" s="11" t="inlineStr">
        <is>
          <t>가성비혼합</t>
        </is>
      </c>
      <c r="B16" s="11" t="inlineStr">
        <is>
          <t>3kg</t>
        </is>
      </c>
      <c r="C16" s="11" t="inlineStr">
        <is>
          <t>2.5kg</t>
        </is>
      </c>
      <c r="D16" s="12" t="n">
        <v>6700</v>
      </c>
      <c r="E16" s="6">
        <f>'설정'!$B$5</f>
        <v/>
      </c>
      <c r="F16" s="6">
        <f>J16*'설정'!$B$6</f>
        <v/>
      </c>
      <c r="G16" s="13">
        <f>D16+E16+F16</f>
        <v/>
      </c>
      <c r="H16" s="14" t="n">
        <v>16900</v>
      </c>
      <c r="I16" s="6">
        <f>ROUND((D16+E16)/(1-'설정'!$B$6),-2)</f>
        <v/>
      </c>
      <c r="J16" s="15">
        <f>ROUND(MAX(H16,(D16+E16)/(1-'설정'!$B$6-'설정'!$B$7)),-2)</f>
        <v/>
      </c>
      <c r="K16" s="16">
        <f>J16-G16</f>
        <v/>
      </c>
      <c r="L16" s="17">
        <f>IF(J16=0,0,K16/J16)</f>
        <v/>
      </c>
      <c r="M16" s="8">
        <f>IF(H16&lt;I16,"⚠️시세&lt;손익분기:손해",IF(J16&gt;H16,"권장가&gt;시세(마진확보↑)","✅시세매칭 OK"))</f>
        <v/>
      </c>
    </row>
    <row r="17">
      <c r="A17" s="11" t="inlineStr">
        <is>
          <t>가성비혼합</t>
        </is>
      </c>
      <c r="B17" s="11" t="inlineStr">
        <is>
          <t>5kg</t>
        </is>
      </c>
      <c r="C17" s="11" t="inlineStr">
        <is>
          <t>4.5kg</t>
        </is>
      </c>
      <c r="D17" s="12" t="n">
        <v>8500</v>
      </c>
      <c r="E17" s="6">
        <f>'설정'!$B$5</f>
        <v/>
      </c>
      <c r="F17" s="6">
        <f>J17*'설정'!$B$6</f>
        <v/>
      </c>
      <c r="G17" s="13">
        <f>D17+E17+F17</f>
        <v/>
      </c>
      <c r="H17" s="14" t="n">
        <v>29900</v>
      </c>
      <c r="I17" s="6">
        <f>ROUND((D17+E17)/(1-'설정'!$B$6),-2)</f>
        <v/>
      </c>
      <c r="J17" s="15">
        <f>ROUND(MAX(H17,(D17+E17)/(1-'설정'!$B$6-'설정'!$B$7)),-2)</f>
        <v/>
      </c>
      <c r="K17" s="16">
        <f>J17-G17</f>
        <v/>
      </c>
      <c r="L17" s="17">
        <f>IF(J17=0,0,K17/J17)</f>
        <v/>
      </c>
      <c r="M17" s="8">
        <f>IF(H17&lt;I17,"⚠️시세&lt;손익분기:손해",IF(J17&gt;H17,"권장가&gt;시세(마진확보↑)","✅시세매칭 OK"))</f>
        <v/>
      </c>
    </row>
    <row r="18">
      <c r="A18" s="11" t="inlineStr">
        <is>
          <t>가성비혼합</t>
        </is>
      </c>
      <c r="B18" s="11" t="inlineStr">
        <is>
          <t>10kg</t>
        </is>
      </c>
      <c r="C18" s="11" t="inlineStr">
        <is>
          <t>9kg</t>
        </is>
      </c>
      <c r="D18" s="12" t="n">
        <v>11500</v>
      </c>
      <c r="E18" s="6">
        <f>'설정'!$B$5</f>
        <v/>
      </c>
      <c r="F18" s="6">
        <f>J18*'설정'!$B$6</f>
        <v/>
      </c>
      <c r="G18" s="13">
        <f>D18+E18+F18</f>
        <v/>
      </c>
      <c r="H18" s="14" t="n">
        <v>49900</v>
      </c>
      <c r="I18" s="6">
        <f>ROUND((D18+E18)/(1-'설정'!$B$6),-2)</f>
        <v/>
      </c>
      <c r="J18" s="15">
        <f>ROUND(MAX(H18,(D18+E18)/(1-'설정'!$B$6-'설정'!$B$7)),-2)</f>
        <v/>
      </c>
      <c r="K18" s="16">
        <f>J18-G18</f>
        <v/>
      </c>
      <c r="L18" s="17">
        <f>IF(J18=0,0,K18/J18)</f>
        <v/>
      </c>
      <c r="M18" s="8">
        <f>IF(H18&lt;I18,"⚠️시세&lt;손익분기:손해",IF(J18&gt;H18,"권장가&gt;시세(마진확보↑)","✅시세매칭 OK"))</f>
        <v/>
      </c>
    </row>
  </sheetData>
  <mergeCells count="2">
    <mergeCell ref="A2:M2"/>
    <mergeCell ref="A1:M1"/>
  </mergeCells>
  <conditionalFormatting sqref="K4:K1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대극천복숭아 — 당근 마진계산 (수수료 3.3% 반영)</t>
        </is>
      </c>
    </row>
    <row r="2">
      <c r="A2" s="9" t="inlineStr">
        <is>
          <t>🟩공급가 실측(영천·김천 등 국내산,롯데택배,일반박스+쉘 벌크포장 포함,5~7월중순). 시세=쿠팡(로얄대과 1kg18,800·2kg28,800). 소과=11~16과/kg, 로얄과=4~10과/kg.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로얄과</t>
        </is>
      </c>
      <c r="B4" s="11" t="inlineStr">
        <is>
          <t>1kg</t>
        </is>
      </c>
      <c r="C4" s="11" t="inlineStr">
        <is>
          <t>4~10과</t>
        </is>
      </c>
      <c r="D4" s="12" t="n">
        <v>9300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18800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로얄과</t>
        </is>
      </c>
      <c r="B5" s="11" t="inlineStr">
        <is>
          <t>2kg</t>
        </is>
      </c>
      <c r="C5" s="11" t="inlineStr">
        <is>
          <t>8~20과</t>
        </is>
      </c>
      <c r="D5" s="12" t="n">
        <v>15000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28800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소과</t>
        </is>
      </c>
      <c r="B6" s="11" t="inlineStr">
        <is>
          <t>1kg</t>
        </is>
      </c>
      <c r="C6" s="11" t="inlineStr">
        <is>
          <t>11~16과</t>
        </is>
      </c>
      <c r="D6" s="12" t="n">
        <v>6900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14800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소과</t>
        </is>
      </c>
      <c r="B7" s="11" t="inlineStr">
        <is>
          <t>2kg</t>
        </is>
      </c>
      <c r="C7" s="11" t="inlineStr">
        <is>
          <t>21~32과</t>
        </is>
      </c>
      <c r="D7" s="12" t="n">
        <v>11000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22800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</sheetData>
  <mergeCells count="2">
    <mergeCell ref="A2:M2"/>
    <mergeCell ref="A1:M1"/>
  </mergeCells>
  <conditionalFormatting sqref="K4:K7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미니밤호박(보우짱) — 당근 마진계산 (수수료 3.3% 반영)</t>
        </is>
      </c>
    </row>
    <row r="2">
      <c r="A2" s="9" t="inlineStr">
        <is>
          <t>🟩공급가 실측(제주,한진택배,무료배송 포함,비과세). 시세=쿠팡 판매가. ⚠️공급가가 시세에 매우 근접 → 저마진/손해 구간 많음.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로얄과</t>
        </is>
      </c>
      <c r="B4" s="11" t="inlineStr">
        <is>
          <t>1kg</t>
        </is>
      </c>
      <c r="C4" s="11" t="inlineStr">
        <is>
          <t>0.8kg</t>
        </is>
      </c>
      <c r="D4" s="12" t="n">
        <v>5600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5900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로얄과</t>
        </is>
      </c>
      <c r="B5" s="11" t="inlineStr">
        <is>
          <t>2kg</t>
        </is>
      </c>
      <c r="C5" s="11" t="inlineStr">
        <is>
          <t>1.5kg</t>
        </is>
      </c>
      <c r="D5" s="12" t="n">
        <v>6900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7700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로얄과</t>
        </is>
      </c>
      <c r="B6" s="11" t="inlineStr">
        <is>
          <t>3kg</t>
        </is>
      </c>
      <c r="C6" s="11" t="inlineStr">
        <is>
          <t>2.5kg</t>
        </is>
      </c>
      <c r="D6" s="12" t="n">
        <v>8800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9800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로얄과</t>
        </is>
      </c>
      <c r="B7" s="11" t="inlineStr">
        <is>
          <t>4kg</t>
        </is>
      </c>
      <c r="C7" s="11" t="inlineStr">
        <is>
          <t>3.5kg</t>
        </is>
      </c>
      <c r="D7" s="12" t="n">
        <v>11200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12400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1" t="inlineStr">
        <is>
          <t>로얄과</t>
        </is>
      </c>
      <c r="B8" s="11" t="inlineStr">
        <is>
          <t>5kg</t>
        </is>
      </c>
      <c r="C8" s="11" t="inlineStr">
        <is>
          <t>4.5kg</t>
        </is>
      </c>
      <c r="D8" s="12" t="n">
        <v>12750</v>
      </c>
      <c r="E8" s="6">
        <f>'설정'!$B$5</f>
        <v/>
      </c>
      <c r="F8" s="6">
        <f>J8*'설정'!$B$6</f>
        <v/>
      </c>
      <c r="G8" s="13">
        <f>D8+E8+F8</f>
        <v/>
      </c>
      <c r="H8" s="14" t="n">
        <v>14500</v>
      </c>
      <c r="I8" s="6">
        <f>ROUND((D8+E8)/(1-'설정'!$B$6),-2)</f>
        <v/>
      </c>
      <c r="J8" s="15">
        <f>ROUND(MAX(H8,(D8+E8)/(1-'설정'!$B$6-'설정'!$B$7)),-2)</f>
        <v/>
      </c>
      <c r="K8" s="16">
        <f>J8-G8</f>
        <v/>
      </c>
      <c r="L8" s="17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1" t="inlineStr">
        <is>
          <t>로얄과</t>
        </is>
      </c>
      <c r="B9" s="11" t="inlineStr">
        <is>
          <t>8kg</t>
        </is>
      </c>
      <c r="C9" s="11" t="inlineStr">
        <is>
          <t>7.5kg</t>
        </is>
      </c>
      <c r="D9" s="12" t="n">
        <v>18600</v>
      </c>
      <c r="E9" s="6">
        <f>'설정'!$B$5</f>
        <v/>
      </c>
      <c r="F9" s="6">
        <f>J9*'설정'!$B$6</f>
        <v/>
      </c>
      <c r="G9" s="13">
        <f>D9+E9+F9</f>
        <v/>
      </c>
      <c r="H9" s="14" t="n">
        <v>18900</v>
      </c>
      <c r="I9" s="6">
        <f>ROUND((D9+E9)/(1-'설정'!$B$6),-2)</f>
        <v/>
      </c>
      <c r="J9" s="15">
        <f>ROUND(MAX(H9,(D9+E9)/(1-'설정'!$B$6-'설정'!$B$7)),-2)</f>
        <v/>
      </c>
      <c r="K9" s="16">
        <f>J9-G9</f>
        <v/>
      </c>
      <c r="L9" s="17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1" t="inlineStr">
        <is>
          <t>로얄과</t>
        </is>
      </c>
      <c r="B10" s="11" t="inlineStr">
        <is>
          <t>10kg</t>
        </is>
      </c>
      <c r="C10" s="11" t="inlineStr">
        <is>
          <t>9kg</t>
        </is>
      </c>
      <c r="D10" s="12" t="n">
        <v>21300</v>
      </c>
      <c r="E10" s="6">
        <f>'설정'!$B$5</f>
        <v/>
      </c>
      <c r="F10" s="6">
        <f>J10*'설정'!$B$6</f>
        <v/>
      </c>
      <c r="G10" s="13">
        <f>D10+E10+F10</f>
        <v/>
      </c>
      <c r="H10" s="14" t="n">
        <v>24400</v>
      </c>
      <c r="I10" s="6">
        <f>ROUND((D10+E10)/(1-'설정'!$B$6),-2)</f>
        <v/>
      </c>
      <c r="J10" s="15">
        <f>ROUND(MAX(H10,(D10+E10)/(1-'설정'!$B$6-'설정'!$B$7)),-2)</f>
        <v/>
      </c>
      <c r="K10" s="16">
        <f>J10-G10</f>
        <v/>
      </c>
      <c r="L10" s="17">
        <f>IF(J10=0,0,K10/J10)</f>
        <v/>
      </c>
      <c r="M10" s="8">
        <f>IF(H10&lt;I10,"⚠️시세&lt;손익분기:손해",IF(J10&gt;H10,"권장가&gt;시세(마진확보↑)","✅시세매칭 OK"))</f>
        <v/>
      </c>
    </row>
  </sheetData>
  <mergeCells count="2">
    <mergeCell ref="A2:M2"/>
    <mergeCell ref="A1:M1"/>
  </mergeCells>
  <conditionalFormatting sqref="K4:K10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홍감자 — 당근 마진계산 (수수료 3.3% 반영)</t>
        </is>
      </c>
    </row>
    <row r="2">
      <c r="A2" s="9" t="inlineStr">
        <is>
          <t>🟩공급가 실측(남해 등 국내산,롯데택배,농산물박스 포함). 🟦시세=쿠팡/오아시스마켓 참고(대 3kg13,900·5kg19,900)-조정가능.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소</t>
        </is>
      </c>
      <c r="B4" s="11" t="inlineStr">
        <is>
          <t>1kg</t>
        </is>
      </c>
      <c r="C4" s="11" t="inlineStr"/>
      <c r="D4" s="12" t="n">
        <v>4200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4900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소</t>
        </is>
      </c>
      <c r="B5" s="11" t="inlineStr">
        <is>
          <t>2kg</t>
        </is>
      </c>
      <c r="C5" s="11" t="inlineStr"/>
      <c r="D5" s="12" t="n">
        <v>5500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7500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소</t>
        </is>
      </c>
      <c r="B6" s="11" t="inlineStr">
        <is>
          <t>3kg</t>
        </is>
      </c>
      <c r="C6" s="11" t="inlineStr"/>
      <c r="D6" s="12" t="n">
        <v>6600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9900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1" t="inlineStr">
        <is>
          <t>소</t>
        </is>
      </c>
      <c r="B7" s="11" t="inlineStr">
        <is>
          <t>5kg</t>
        </is>
      </c>
      <c r="C7" s="11" t="inlineStr"/>
      <c r="D7" s="12" t="n">
        <v>9500</v>
      </c>
      <c r="E7" s="6">
        <f>'설정'!$B$5</f>
        <v/>
      </c>
      <c r="F7" s="6">
        <f>J7*'설정'!$B$6</f>
        <v/>
      </c>
      <c r="G7" s="13">
        <f>D7+E7+F7</f>
        <v/>
      </c>
      <c r="H7" s="14" t="n">
        <v>13900</v>
      </c>
      <c r="I7" s="6">
        <f>ROUND((D7+E7)/(1-'설정'!$B$6),-2)</f>
        <v/>
      </c>
      <c r="J7" s="15">
        <f>ROUND(MAX(H7,(D7+E7)/(1-'설정'!$B$6-'설정'!$B$7)),-2)</f>
        <v/>
      </c>
      <c r="K7" s="16">
        <f>J7-G7</f>
        <v/>
      </c>
      <c r="L7" s="17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1" t="inlineStr">
        <is>
          <t>중</t>
        </is>
      </c>
      <c r="B8" s="11" t="inlineStr">
        <is>
          <t>1kg</t>
        </is>
      </c>
      <c r="C8" s="11" t="inlineStr"/>
      <c r="D8" s="12" t="n">
        <v>4300</v>
      </c>
      <c r="E8" s="6">
        <f>'설정'!$B$5</f>
        <v/>
      </c>
      <c r="F8" s="6">
        <f>J8*'설정'!$B$6</f>
        <v/>
      </c>
      <c r="G8" s="13">
        <f>D8+E8+F8</f>
        <v/>
      </c>
      <c r="H8" s="14" t="n">
        <v>5500</v>
      </c>
      <c r="I8" s="6">
        <f>ROUND((D8+E8)/(1-'설정'!$B$6),-2)</f>
        <v/>
      </c>
      <c r="J8" s="15">
        <f>ROUND(MAX(H8,(D8+E8)/(1-'설정'!$B$6-'설정'!$B$7)),-2)</f>
        <v/>
      </c>
      <c r="K8" s="16">
        <f>J8-G8</f>
        <v/>
      </c>
      <c r="L8" s="17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1" t="inlineStr">
        <is>
          <t>중</t>
        </is>
      </c>
      <c r="B9" s="11" t="inlineStr">
        <is>
          <t>2kg</t>
        </is>
      </c>
      <c r="C9" s="11" t="inlineStr"/>
      <c r="D9" s="12" t="n">
        <v>5700</v>
      </c>
      <c r="E9" s="6">
        <f>'설정'!$B$5</f>
        <v/>
      </c>
      <c r="F9" s="6">
        <f>J9*'설정'!$B$6</f>
        <v/>
      </c>
      <c r="G9" s="13">
        <f>D9+E9+F9</f>
        <v/>
      </c>
      <c r="H9" s="14" t="n">
        <v>8500</v>
      </c>
      <c r="I9" s="6">
        <f>ROUND((D9+E9)/(1-'설정'!$B$6),-2)</f>
        <v/>
      </c>
      <c r="J9" s="15">
        <f>ROUND(MAX(H9,(D9+E9)/(1-'설정'!$B$6-'설정'!$B$7)),-2)</f>
        <v/>
      </c>
      <c r="K9" s="16">
        <f>J9-G9</f>
        <v/>
      </c>
      <c r="L9" s="17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1" t="inlineStr">
        <is>
          <t>중</t>
        </is>
      </c>
      <c r="B10" s="11" t="inlineStr">
        <is>
          <t>3kg</t>
        </is>
      </c>
      <c r="C10" s="11" t="inlineStr"/>
      <c r="D10" s="12" t="n">
        <v>6900</v>
      </c>
      <c r="E10" s="6">
        <f>'설정'!$B$5</f>
        <v/>
      </c>
      <c r="F10" s="6">
        <f>J10*'설정'!$B$6</f>
        <v/>
      </c>
      <c r="G10" s="13">
        <f>D10+E10+F10</f>
        <v/>
      </c>
      <c r="H10" s="14" t="n">
        <v>11900</v>
      </c>
      <c r="I10" s="6">
        <f>ROUND((D10+E10)/(1-'설정'!$B$6),-2)</f>
        <v/>
      </c>
      <c r="J10" s="15">
        <f>ROUND(MAX(H10,(D10+E10)/(1-'설정'!$B$6-'설정'!$B$7)),-2)</f>
        <v/>
      </c>
      <c r="K10" s="16">
        <f>J10-G10</f>
        <v/>
      </c>
      <c r="L10" s="17">
        <f>IF(J10=0,0,K10/J10)</f>
        <v/>
      </c>
      <c r="M10" s="8">
        <f>IF(H10&lt;I10,"⚠️시세&lt;손익분기:손해",IF(J10&gt;H10,"권장가&gt;시세(마진확보↑)","✅시세매칭 OK"))</f>
        <v/>
      </c>
    </row>
    <row r="11">
      <c r="A11" s="11" t="inlineStr">
        <is>
          <t>중</t>
        </is>
      </c>
      <c r="B11" s="11" t="inlineStr">
        <is>
          <t>5kg</t>
        </is>
      </c>
      <c r="C11" s="11" t="inlineStr"/>
      <c r="D11" s="12" t="n">
        <v>10000</v>
      </c>
      <c r="E11" s="6">
        <f>'설정'!$B$5</f>
        <v/>
      </c>
      <c r="F11" s="6">
        <f>J11*'설정'!$B$6</f>
        <v/>
      </c>
      <c r="G11" s="13">
        <f>D11+E11+F11</f>
        <v/>
      </c>
      <c r="H11" s="14" t="n">
        <v>16900</v>
      </c>
      <c r="I11" s="6">
        <f>ROUND((D11+E11)/(1-'설정'!$B$6),-2)</f>
        <v/>
      </c>
      <c r="J11" s="15">
        <f>ROUND(MAX(H11,(D11+E11)/(1-'설정'!$B$6-'설정'!$B$7)),-2)</f>
        <v/>
      </c>
      <c r="K11" s="16">
        <f>J11-G11</f>
        <v/>
      </c>
      <c r="L11" s="17">
        <f>IF(J11=0,0,K11/J11)</f>
        <v/>
      </c>
      <c r="M11" s="8">
        <f>IF(H11&lt;I11,"⚠️시세&lt;손익분기:손해",IF(J11&gt;H11,"권장가&gt;시세(마진확보↑)","✅시세매칭 OK"))</f>
        <v/>
      </c>
    </row>
    <row r="12">
      <c r="A12" s="11" t="inlineStr">
        <is>
          <t>대</t>
        </is>
      </c>
      <c r="B12" s="11" t="inlineStr">
        <is>
          <t>1kg</t>
        </is>
      </c>
      <c r="C12" s="11" t="inlineStr"/>
      <c r="D12" s="12" t="n">
        <v>5300</v>
      </c>
      <c r="E12" s="6">
        <f>'설정'!$B$5</f>
        <v/>
      </c>
      <c r="F12" s="6">
        <f>J12*'설정'!$B$6</f>
        <v/>
      </c>
      <c r="G12" s="13">
        <f>D12+E12+F12</f>
        <v/>
      </c>
      <c r="H12" s="14" t="n">
        <v>6900</v>
      </c>
      <c r="I12" s="6">
        <f>ROUND((D12+E12)/(1-'설정'!$B$6),-2)</f>
        <v/>
      </c>
      <c r="J12" s="15">
        <f>ROUND(MAX(H12,(D12+E12)/(1-'설정'!$B$6-'설정'!$B$7)),-2)</f>
        <v/>
      </c>
      <c r="K12" s="16">
        <f>J12-G12</f>
        <v/>
      </c>
      <c r="L12" s="17">
        <f>IF(J12=0,0,K12/J12)</f>
        <v/>
      </c>
      <c r="M12" s="8">
        <f>IF(H12&lt;I12,"⚠️시세&lt;손익분기:손해",IF(J12&gt;H12,"권장가&gt;시세(마진확보↑)","✅시세매칭 OK"))</f>
        <v/>
      </c>
    </row>
    <row r="13">
      <c r="A13" s="11" t="inlineStr">
        <is>
          <t>대</t>
        </is>
      </c>
      <c r="B13" s="11" t="inlineStr">
        <is>
          <t>2kg</t>
        </is>
      </c>
      <c r="C13" s="11" t="inlineStr"/>
      <c r="D13" s="12" t="n">
        <v>6900</v>
      </c>
      <c r="E13" s="6">
        <f>'설정'!$B$5</f>
        <v/>
      </c>
      <c r="F13" s="6">
        <f>J13*'설정'!$B$6</f>
        <v/>
      </c>
      <c r="G13" s="13">
        <f>D13+E13+F13</f>
        <v/>
      </c>
      <c r="H13" s="14" t="n">
        <v>9900</v>
      </c>
      <c r="I13" s="6">
        <f>ROUND((D13+E13)/(1-'설정'!$B$6),-2)</f>
        <v/>
      </c>
      <c r="J13" s="15">
        <f>ROUND(MAX(H13,(D13+E13)/(1-'설정'!$B$6-'설정'!$B$7)),-2)</f>
        <v/>
      </c>
      <c r="K13" s="16">
        <f>J13-G13</f>
        <v/>
      </c>
      <c r="L13" s="17">
        <f>IF(J13=0,0,K13/J13)</f>
        <v/>
      </c>
      <c r="M13" s="8">
        <f>IF(H13&lt;I13,"⚠️시세&lt;손익분기:손해",IF(J13&gt;H13,"권장가&gt;시세(마진확보↑)","✅시세매칭 OK"))</f>
        <v/>
      </c>
    </row>
    <row r="14">
      <c r="A14" s="11" t="inlineStr">
        <is>
          <t>대</t>
        </is>
      </c>
      <c r="B14" s="11" t="inlineStr">
        <is>
          <t>3kg</t>
        </is>
      </c>
      <c r="C14" s="11" t="inlineStr"/>
      <c r="D14" s="12" t="n">
        <v>8400</v>
      </c>
      <c r="E14" s="6">
        <f>'설정'!$B$5</f>
        <v/>
      </c>
      <c r="F14" s="6">
        <f>J14*'설정'!$B$6</f>
        <v/>
      </c>
      <c r="G14" s="13">
        <f>D14+E14+F14</f>
        <v/>
      </c>
      <c r="H14" s="14" t="n">
        <v>13900</v>
      </c>
      <c r="I14" s="6">
        <f>ROUND((D14+E14)/(1-'설정'!$B$6),-2)</f>
        <v/>
      </c>
      <c r="J14" s="15">
        <f>ROUND(MAX(H14,(D14+E14)/(1-'설정'!$B$6-'설정'!$B$7)),-2)</f>
        <v/>
      </c>
      <c r="K14" s="16">
        <f>J14-G14</f>
        <v/>
      </c>
      <c r="L14" s="17">
        <f>IF(J14=0,0,K14/J14)</f>
        <v/>
      </c>
      <c r="M14" s="8">
        <f>IF(H14&lt;I14,"⚠️시세&lt;손익분기:손해",IF(J14&gt;H14,"권장가&gt;시세(마진확보↑)","✅시세매칭 OK"))</f>
        <v/>
      </c>
    </row>
    <row r="15">
      <c r="A15" s="11" t="inlineStr">
        <is>
          <t>대</t>
        </is>
      </c>
      <c r="B15" s="11" t="inlineStr">
        <is>
          <t>5kg</t>
        </is>
      </c>
      <c r="C15" s="11" t="inlineStr"/>
      <c r="D15" s="12" t="n">
        <v>12500</v>
      </c>
      <c r="E15" s="6">
        <f>'설정'!$B$5</f>
        <v/>
      </c>
      <c r="F15" s="6">
        <f>J15*'설정'!$B$6</f>
        <v/>
      </c>
      <c r="G15" s="13">
        <f>D15+E15+F15</f>
        <v/>
      </c>
      <c r="H15" s="14" t="n">
        <v>19900</v>
      </c>
      <c r="I15" s="6">
        <f>ROUND((D15+E15)/(1-'설정'!$B$6),-2)</f>
        <v/>
      </c>
      <c r="J15" s="15">
        <f>ROUND(MAX(H15,(D15+E15)/(1-'설정'!$B$6-'설정'!$B$7)),-2)</f>
        <v/>
      </c>
      <c r="K15" s="16">
        <f>J15-G15</f>
        <v/>
      </c>
      <c r="L15" s="17">
        <f>IF(J15=0,0,K15/J15)</f>
        <v/>
      </c>
      <c r="M15" s="8">
        <f>IF(H15&lt;I15,"⚠️시세&lt;손익분기:손해",IF(J15&gt;H15,"권장가&gt;시세(마진확보↑)","✅시세매칭 OK"))</f>
        <v/>
      </c>
    </row>
    <row r="16">
      <c r="A16" s="11" t="inlineStr">
        <is>
          <t>특</t>
        </is>
      </c>
      <c r="B16" s="11" t="inlineStr">
        <is>
          <t>1kg</t>
        </is>
      </c>
      <c r="C16" s="11" t="inlineStr"/>
      <c r="D16" s="12" t="n">
        <v>6000</v>
      </c>
      <c r="E16" s="6">
        <f>'설정'!$B$5</f>
        <v/>
      </c>
      <c r="F16" s="6">
        <f>J16*'설정'!$B$6</f>
        <v/>
      </c>
      <c r="G16" s="13">
        <f>D16+E16+F16</f>
        <v/>
      </c>
      <c r="H16" s="14" t="n">
        <v>7500</v>
      </c>
      <c r="I16" s="6">
        <f>ROUND((D16+E16)/(1-'설정'!$B$6),-2)</f>
        <v/>
      </c>
      <c r="J16" s="15">
        <f>ROUND(MAX(H16,(D16+E16)/(1-'설정'!$B$6-'설정'!$B$7)),-2)</f>
        <v/>
      </c>
      <c r="K16" s="16">
        <f>J16-G16</f>
        <v/>
      </c>
      <c r="L16" s="17">
        <f>IF(J16=0,0,K16/J16)</f>
        <v/>
      </c>
      <c r="M16" s="8">
        <f>IF(H16&lt;I16,"⚠️시세&lt;손익분기:손해",IF(J16&gt;H16,"권장가&gt;시세(마진확보↑)","✅시세매칭 OK"))</f>
        <v/>
      </c>
    </row>
    <row r="17">
      <c r="A17" s="11" t="inlineStr">
        <is>
          <t>특</t>
        </is>
      </c>
      <c r="B17" s="11" t="inlineStr">
        <is>
          <t>2kg</t>
        </is>
      </c>
      <c r="C17" s="11" t="inlineStr"/>
      <c r="D17" s="12" t="n">
        <v>8300</v>
      </c>
      <c r="E17" s="6">
        <f>'설정'!$B$5</f>
        <v/>
      </c>
      <c r="F17" s="6">
        <f>J17*'설정'!$B$6</f>
        <v/>
      </c>
      <c r="G17" s="13">
        <f>D17+E17+F17</f>
        <v/>
      </c>
      <c r="H17" s="14" t="n">
        <v>10900</v>
      </c>
      <c r="I17" s="6">
        <f>ROUND((D17+E17)/(1-'설정'!$B$6),-2)</f>
        <v/>
      </c>
      <c r="J17" s="15">
        <f>ROUND(MAX(H17,(D17+E17)/(1-'설정'!$B$6-'설정'!$B$7)),-2)</f>
        <v/>
      </c>
      <c r="K17" s="16">
        <f>J17-G17</f>
        <v/>
      </c>
      <c r="L17" s="17">
        <f>IF(J17=0,0,K17/J17)</f>
        <v/>
      </c>
      <c r="M17" s="8">
        <f>IF(H17&lt;I17,"⚠️시세&lt;손익분기:손해",IF(J17&gt;H17,"권장가&gt;시세(마진확보↑)","✅시세매칭 OK"))</f>
        <v/>
      </c>
    </row>
    <row r="18">
      <c r="A18" s="11" t="inlineStr">
        <is>
          <t>특</t>
        </is>
      </c>
      <c r="B18" s="11" t="inlineStr">
        <is>
          <t>3kg</t>
        </is>
      </c>
      <c r="C18" s="11" t="inlineStr"/>
      <c r="D18" s="12" t="n">
        <v>10500</v>
      </c>
      <c r="E18" s="6">
        <f>'설정'!$B$5</f>
        <v/>
      </c>
      <c r="F18" s="6">
        <f>J18*'설정'!$B$6</f>
        <v/>
      </c>
      <c r="G18" s="13">
        <f>D18+E18+F18</f>
        <v/>
      </c>
      <c r="H18" s="14" t="n">
        <v>14900</v>
      </c>
      <c r="I18" s="6">
        <f>ROUND((D18+E18)/(1-'설정'!$B$6),-2)</f>
        <v/>
      </c>
      <c r="J18" s="15">
        <f>ROUND(MAX(H18,(D18+E18)/(1-'설정'!$B$6-'설정'!$B$7)),-2)</f>
        <v/>
      </c>
      <c r="K18" s="16">
        <f>J18-G18</f>
        <v/>
      </c>
      <c r="L18" s="17">
        <f>IF(J18=0,0,K18/J18)</f>
        <v/>
      </c>
      <c r="M18" s="8">
        <f>IF(H18&lt;I18,"⚠️시세&lt;손익분기:손해",IF(J18&gt;H18,"권장가&gt;시세(마진확보↑)","✅시세매칭 OK"))</f>
        <v/>
      </c>
    </row>
    <row r="19">
      <c r="A19" s="11" t="inlineStr">
        <is>
          <t>특</t>
        </is>
      </c>
      <c r="B19" s="11" t="inlineStr">
        <is>
          <t>5kg</t>
        </is>
      </c>
      <c r="C19" s="11" t="inlineStr"/>
      <c r="D19" s="12" t="n">
        <v>15500</v>
      </c>
      <c r="E19" s="6">
        <f>'설정'!$B$5</f>
        <v/>
      </c>
      <c r="F19" s="6">
        <f>J19*'설정'!$B$6</f>
        <v/>
      </c>
      <c r="G19" s="13">
        <f>D19+E19+F19</f>
        <v/>
      </c>
      <c r="H19" s="14" t="n">
        <v>22900</v>
      </c>
      <c r="I19" s="6">
        <f>ROUND((D19+E19)/(1-'설정'!$B$6),-2)</f>
        <v/>
      </c>
      <c r="J19" s="15">
        <f>ROUND(MAX(H19,(D19+E19)/(1-'설정'!$B$6-'설정'!$B$7)),-2)</f>
        <v/>
      </c>
      <c r="K19" s="16">
        <f>J19-G19</f>
        <v/>
      </c>
      <c r="L19" s="17">
        <f>IF(J19=0,0,K19/J19)</f>
        <v/>
      </c>
      <c r="M19" s="8">
        <f>IF(H19&lt;I19,"⚠️시세&lt;손익분기:손해",IF(J19&gt;H19,"권장가&gt;시세(마진확보↑)","✅시세매칭 OK"))</f>
        <v/>
      </c>
    </row>
    <row r="20">
      <c r="A20" s="11" t="inlineStr">
        <is>
          <t>왕특</t>
        </is>
      </c>
      <c r="B20" s="11" t="inlineStr">
        <is>
          <t>1kg</t>
        </is>
      </c>
      <c r="C20" s="11" t="inlineStr"/>
      <c r="D20" s="12" t="n">
        <v>6300</v>
      </c>
      <c r="E20" s="6">
        <f>'설정'!$B$5</f>
        <v/>
      </c>
      <c r="F20" s="6">
        <f>J20*'설정'!$B$6</f>
        <v/>
      </c>
      <c r="G20" s="13">
        <f>D20+E20+F20</f>
        <v/>
      </c>
      <c r="H20" s="14" t="n">
        <v>7900</v>
      </c>
      <c r="I20" s="6">
        <f>ROUND((D20+E20)/(1-'설정'!$B$6),-2)</f>
        <v/>
      </c>
      <c r="J20" s="15">
        <f>ROUND(MAX(H20,(D20+E20)/(1-'설정'!$B$6-'설정'!$B$7)),-2)</f>
        <v/>
      </c>
      <c r="K20" s="16">
        <f>J20-G20</f>
        <v/>
      </c>
      <c r="L20" s="17">
        <f>IF(J20=0,0,K20/J20)</f>
        <v/>
      </c>
      <c r="M20" s="8">
        <f>IF(H20&lt;I20,"⚠️시세&lt;손익분기:손해",IF(J20&gt;H20,"권장가&gt;시세(마진확보↑)","✅시세매칭 OK"))</f>
        <v/>
      </c>
    </row>
    <row r="21">
      <c r="A21" s="11" t="inlineStr">
        <is>
          <t>왕특</t>
        </is>
      </c>
      <c r="B21" s="11" t="inlineStr">
        <is>
          <t>2kg</t>
        </is>
      </c>
      <c r="C21" s="11" t="inlineStr"/>
      <c r="D21" s="12" t="n">
        <v>8800</v>
      </c>
      <c r="E21" s="6">
        <f>'설정'!$B$5</f>
        <v/>
      </c>
      <c r="F21" s="6">
        <f>J21*'설정'!$B$6</f>
        <v/>
      </c>
      <c r="G21" s="13">
        <f>D21+E21+F21</f>
        <v/>
      </c>
      <c r="H21" s="14" t="n">
        <v>11900</v>
      </c>
      <c r="I21" s="6">
        <f>ROUND((D21+E21)/(1-'설정'!$B$6),-2)</f>
        <v/>
      </c>
      <c r="J21" s="15">
        <f>ROUND(MAX(H21,(D21+E21)/(1-'설정'!$B$6-'설정'!$B$7)),-2)</f>
        <v/>
      </c>
      <c r="K21" s="16">
        <f>J21-G21</f>
        <v/>
      </c>
      <c r="L21" s="17">
        <f>IF(J21=0,0,K21/J21)</f>
        <v/>
      </c>
      <c r="M21" s="8">
        <f>IF(H21&lt;I21,"⚠️시세&lt;손익분기:손해",IF(J21&gt;H21,"권장가&gt;시세(마진확보↑)","✅시세매칭 OK"))</f>
        <v/>
      </c>
    </row>
    <row r="22">
      <c r="A22" s="11" t="inlineStr">
        <is>
          <t>왕특</t>
        </is>
      </c>
      <c r="B22" s="11" t="inlineStr">
        <is>
          <t>3kg</t>
        </is>
      </c>
      <c r="C22" s="11" t="inlineStr"/>
      <c r="D22" s="12" t="n">
        <v>11700</v>
      </c>
      <c r="E22" s="6">
        <f>'설정'!$B$5</f>
        <v/>
      </c>
      <c r="F22" s="6">
        <f>J22*'설정'!$B$6</f>
        <v/>
      </c>
      <c r="G22" s="13">
        <f>D22+E22+F22</f>
        <v/>
      </c>
      <c r="H22" s="14" t="n">
        <v>16900</v>
      </c>
      <c r="I22" s="6">
        <f>ROUND((D22+E22)/(1-'설정'!$B$6),-2)</f>
        <v/>
      </c>
      <c r="J22" s="15">
        <f>ROUND(MAX(H22,(D22+E22)/(1-'설정'!$B$6-'설정'!$B$7)),-2)</f>
        <v/>
      </c>
      <c r="K22" s="16">
        <f>J22-G22</f>
        <v/>
      </c>
      <c r="L22" s="17">
        <f>IF(J22=0,0,K22/J22)</f>
        <v/>
      </c>
      <c r="M22" s="8">
        <f>IF(H22&lt;I22,"⚠️시세&lt;손익분기:손해",IF(J22&gt;H22,"권장가&gt;시세(마진확보↑)","✅시세매칭 OK"))</f>
        <v/>
      </c>
    </row>
    <row r="23">
      <c r="A23" s="11" t="inlineStr">
        <is>
          <t>왕특</t>
        </is>
      </c>
      <c r="B23" s="11" t="inlineStr">
        <is>
          <t>5kg</t>
        </is>
      </c>
      <c r="C23" s="11" t="inlineStr"/>
      <c r="D23" s="12" t="n">
        <v>18000</v>
      </c>
      <c r="E23" s="6">
        <f>'설정'!$B$5</f>
        <v/>
      </c>
      <c r="F23" s="6">
        <f>J23*'설정'!$B$6</f>
        <v/>
      </c>
      <c r="G23" s="13">
        <f>D23+E23+F23</f>
        <v/>
      </c>
      <c r="H23" s="14" t="n">
        <v>24800</v>
      </c>
      <c r="I23" s="6">
        <f>ROUND((D23+E23)/(1-'설정'!$B$6),-2)</f>
        <v/>
      </c>
      <c r="J23" s="15">
        <f>ROUND(MAX(H23,(D23+E23)/(1-'설정'!$B$6-'설정'!$B$7)),-2)</f>
        <v/>
      </c>
      <c r="K23" s="16">
        <f>J23-G23</f>
        <v/>
      </c>
      <c r="L23" s="17">
        <f>IF(J23=0,0,K23/J23)</f>
        <v/>
      </c>
      <c r="M23" s="8">
        <f>IF(H23&lt;I23,"⚠️시세&lt;손익분기:손해",IF(J23&gt;H23,"권장가&gt;시세(마진확보↑)","✅시세매칭 OK"))</f>
        <v/>
      </c>
    </row>
  </sheetData>
  <mergeCells count="2">
    <mergeCell ref="A2:M2"/>
    <mergeCell ref="A1:M1"/>
  </mergeCells>
  <conditionalFormatting sqref="K4:K23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콜라비 — 당근 마진계산 (수수료 3.3% 반영)</t>
        </is>
      </c>
    </row>
    <row r="2">
      <c r="A2" s="9" t="inlineStr">
        <is>
          <t>🟩공급가 확정(소싱현황). 시세=쿠팡 최종쿠폰가.</t>
        </is>
      </c>
    </row>
    <row r="3">
      <c r="A3" s="10" t="inlineStr">
        <is>
          <t>등급</t>
        </is>
      </c>
      <c r="B3" s="10" t="inlineStr">
        <is>
          <t>옵션</t>
        </is>
      </c>
      <c r="C3" s="10" t="inlineStr">
        <is>
          <t>실중량</t>
        </is>
      </c>
      <c r="D3" s="10" t="inlineStr">
        <is>
          <t>공급가(택배·포장포함)</t>
        </is>
      </c>
      <c r="E3" s="10" t="inlineStr">
        <is>
          <t>건당광고비</t>
        </is>
      </c>
      <c r="F3" s="10" t="inlineStr">
        <is>
          <t>당근수수료(3.3%)</t>
        </is>
      </c>
      <c r="G3" s="10" t="inlineStr">
        <is>
          <t>총비용</t>
        </is>
      </c>
      <c r="H3" s="10" t="inlineStr">
        <is>
          <t>시중시세(쿠팡)</t>
        </is>
      </c>
      <c r="I3" s="10" t="inlineStr">
        <is>
          <t>손익분기가</t>
        </is>
      </c>
      <c r="J3" s="10" t="inlineStr">
        <is>
          <t>당근권장가</t>
        </is>
      </c>
      <c r="K3" s="10" t="inlineStr">
        <is>
          <t>마진(원)</t>
        </is>
      </c>
      <c r="L3" s="10" t="inlineStr">
        <is>
          <t>마진율</t>
        </is>
      </c>
      <c r="M3" s="10" t="inlineStr">
        <is>
          <t>비고</t>
        </is>
      </c>
    </row>
    <row r="4">
      <c r="A4" s="11" t="inlineStr">
        <is>
          <t>정품</t>
        </is>
      </c>
      <c r="B4" s="11" t="inlineStr">
        <is>
          <t>3kg</t>
        </is>
      </c>
      <c r="C4" s="11" t="inlineStr"/>
      <c r="D4" s="12" t="n">
        <v>9500</v>
      </c>
      <c r="E4" s="6">
        <f>'설정'!$B$5</f>
        <v/>
      </c>
      <c r="F4" s="6">
        <f>J4*'설정'!$B$6</f>
        <v/>
      </c>
      <c r="G4" s="13">
        <f>D4+E4+F4</f>
        <v/>
      </c>
      <c r="H4" s="14" t="n">
        <v>12420</v>
      </c>
      <c r="I4" s="6">
        <f>ROUND((D4+E4)/(1-'설정'!$B$6),-2)</f>
        <v/>
      </c>
      <c r="J4" s="15">
        <f>ROUND(MAX(H4,(D4+E4)/(1-'설정'!$B$6-'설정'!$B$7)),-2)</f>
        <v/>
      </c>
      <c r="K4" s="16">
        <f>J4-G4</f>
        <v/>
      </c>
      <c r="L4" s="17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1" t="inlineStr">
        <is>
          <t>정품</t>
        </is>
      </c>
      <c r="B5" s="11" t="inlineStr">
        <is>
          <t>5kg</t>
        </is>
      </c>
      <c r="C5" s="11" t="inlineStr"/>
      <c r="D5" s="12" t="n">
        <v>13200</v>
      </c>
      <c r="E5" s="6">
        <f>'설정'!$B$5</f>
        <v/>
      </c>
      <c r="F5" s="6">
        <f>J5*'설정'!$B$6</f>
        <v/>
      </c>
      <c r="G5" s="13">
        <f>D5+E5+F5</f>
        <v/>
      </c>
      <c r="H5" s="14" t="n">
        <v>19050</v>
      </c>
      <c r="I5" s="6">
        <f>ROUND((D5+E5)/(1-'설정'!$B$6),-2)</f>
        <v/>
      </c>
      <c r="J5" s="15">
        <f>ROUND(MAX(H5,(D5+E5)/(1-'설정'!$B$6-'설정'!$B$7)),-2)</f>
        <v/>
      </c>
      <c r="K5" s="16">
        <f>J5-G5</f>
        <v/>
      </c>
      <c r="L5" s="17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1" t="inlineStr">
        <is>
          <t>정품</t>
        </is>
      </c>
      <c r="B6" s="11" t="inlineStr">
        <is>
          <t>10kg</t>
        </is>
      </c>
      <c r="C6" s="11" t="inlineStr"/>
      <c r="D6" s="12" t="n">
        <v>22700</v>
      </c>
      <c r="E6" s="6">
        <f>'설정'!$B$5</f>
        <v/>
      </c>
      <c r="F6" s="6">
        <f>J6*'설정'!$B$6</f>
        <v/>
      </c>
      <c r="G6" s="13">
        <f>D6+E6+F6</f>
        <v/>
      </c>
      <c r="H6" s="14" t="n">
        <v>29390</v>
      </c>
      <c r="I6" s="6">
        <f>ROUND((D6+E6)/(1-'설정'!$B$6),-2)</f>
        <v/>
      </c>
      <c r="J6" s="15">
        <f>ROUND(MAX(H6,(D6+E6)/(1-'설정'!$B$6-'설정'!$B$7)),-2)</f>
        <v/>
      </c>
      <c r="K6" s="16">
        <f>J6-G6</f>
        <v/>
      </c>
      <c r="L6" s="17">
        <f>IF(J6=0,0,K6/J6)</f>
        <v/>
      </c>
      <c r="M6" s="8">
        <f>IF(H6&lt;I6,"⚠️시세&lt;손익분기:손해",IF(J6&gt;H6,"권장가&gt;시세(마진확보↑)","✅시세매칭 OK"))</f>
        <v/>
      </c>
    </row>
  </sheetData>
  <mergeCells count="2">
    <mergeCell ref="A2:M2"/>
    <mergeCell ref="A1:M1"/>
  </mergeCells>
  <conditionalFormatting sqref="K4:K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1" customWidth="1" min="3" max="3"/>
    <col width="14" customWidth="1" min="4" max="4"/>
    <col width="11" customWidth="1" min="5" max="5"/>
    <col width="11" customWidth="1" min="6" max="6"/>
    <col width="11" customWidth="1" min="7" max="7"/>
    <col width="10" customWidth="1" min="8" max="8"/>
    <col width="9" customWidth="1" min="9" max="9"/>
    <col width="10" customWidth="1" min="10" max="10"/>
    <col width="18" customWidth="1" min="11" max="11"/>
  </cols>
  <sheetData>
    <row r="1" ht="22" customHeight="1">
      <c r="A1" s="1" t="inlineStr">
        <is>
          <t>🥊 경쟁사 가격 대결 — 대극천복숭아 (당근 무료배송 경쟁사 vs 우리)</t>
        </is>
      </c>
    </row>
    <row r="2">
      <c r="A2" s="18" t="inlineStr">
        <is>
          <t>대응권장가=경쟁사보다 300원↓(단 손익분기 이상). 마진/손익분기는 설정값(광고·수수료3.3%) 자동 연동. 그램당으로 보면 경쟁사 3kg가 진짜 무기.</t>
        </is>
      </c>
    </row>
    <row r="3">
      <c r="A3" s="10" t="inlineStr">
        <is>
          <t>경쟁사 옵션</t>
        </is>
      </c>
      <c r="B3" s="10" t="inlineStr">
        <is>
          <t>경쟁사가</t>
        </is>
      </c>
      <c r="C3" s="10" t="inlineStr">
        <is>
          <t>경쟁사 100g당</t>
        </is>
      </c>
      <c r="D3" s="10" t="inlineStr">
        <is>
          <t>우리 매칭</t>
        </is>
      </c>
      <c r="E3" s="10" t="inlineStr">
        <is>
          <t>우리 공급가</t>
        </is>
      </c>
      <c r="F3" s="10" t="inlineStr">
        <is>
          <t>우리 손익분기</t>
        </is>
      </c>
      <c r="G3" s="10" t="inlineStr">
        <is>
          <t>대응 권장가</t>
        </is>
      </c>
      <c r="H3" s="10" t="inlineStr">
        <is>
          <t>우리 마진</t>
        </is>
      </c>
      <c r="I3" s="10" t="inlineStr">
        <is>
          <t>우리 마진율</t>
        </is>
      </c>
      <c r="J3" s="10" t="inlineStr">
        <is>
          <t>우리 100g당</t>
        </is>
      </c>
      <c r="K3" s="10" t="inlineStr">
        <is>
          <t>판정</t>
        </is>
      </c>
    </row>
    <row r="4">
      <c r="A4" s="19" t="inlineStr">
        <is>
          <t>소과 2kg(60g/개)</t>
        </is>
      </c>
      <c r="B4" s="16" t="n">
        <v>16100</v>
      </c>
      <c r="C4" s="16">
        <f>ROUND(B4/20.0,0)</f>
        <v/>
      </c>
      <c r="D4" s="19" t="inlineStr">
        <is>
          <t>우리 소과 2kg</t>
        </is>
      </c>
      <c r="E4" s="12" t="n">
        <v>11000</v>
      </c>
      <c r="F4" s="6">
        <f>ROUND((E4+'설정'!$B$5)/(1-'설정'!$B$6),-2)</f>
        <v/>
      </c>
      <c r="G4" s="15">
        <f>ROUND(MAX(F4,B4-300),-2)</f>
        <v/>
      </c>
      <c r="H4" s="16">
        <f>G4*(1-'설정'!$B$6)-E4-'설정'!$B$5</f>
        <v/>
      </c>
      <c r="I4" s="17">
        <f>IF(G4=0,0,H4/G4)</f>
        <v/>
      </c>
      <c r="J4" s="16">
        <f>ROUND(G4/20.0,0)</f>
        <v/>
      </c>
      <c r="K4" s="19">
        <f>IF(B4-300&gt;=F4,"✅ 이길 수 있음","⚠️ 빠듯")</f>
        <v/>
      </c>
    </row>
    <row r="5">
      <c r="A5" s="19" t="inlineStr">
        <is>
          <t>중과 2kg(80g/개)</t>
        </is>
      </c>
      <c r="B5" s="16" t="n">
        <v>18200</v>
      </c>
      <c r="C5" s="16">
        <f>ROUND(B5/20.0,0)</f>
        <v/>
      </c>
      <c r="D5" s="19" t="inlineStr">
        <is>
          <t>우리 소과 2kg</t>
        </is>
      </c>
      <c r="E5" s="12" t="n">
        <v>11000</v>
      </c>
      <c r="F5" s="6">
        <f>ROUND((E5+'설정'!$B$5)/(1-'설정'!$B$6),-2)</f>
        <v/>
      </c>
      <c r="G5" s="15">
        <f>ROUND(MAX(F5,B5-300),-2)</f>
        <v/>
      </c>
      <c r="H5" s="16">
        <f>G5*(1-'설정'!$B$6)-E5-'설정'!$B$5</f>
        <v/>
      </c>
      <c r="I5" s="17">
        <f>IF(G5=0,0,H5/G5)</f>
        <v/>
      </c>
      <c r="J5" s="16">
        <f>ROUND(G5/20.0,0)</f>
        <v/>
      </c>
      <c r="K5" s="19">
        <f>IF(B5-300&gt;=F5,"✅ 이길 수 있음","⚠️ 빠듯")</f>
        <v/>
      </c>
    </row>
    <row r="6">
      <c r="A6" s="19" t="inlineStr">
        <is>
          <t>대과 2kg(100g/개)</t>
        </is>
      </c>
      <c r="B6" s="16" t="n">
        <v>21000</v>
      </c>
      <c r="C6" s="16">
        <f>ROUND(B6/20.0,0)</f>
        <v/>
      </c>
      <c r="D6" s="19" t="inlineStr">
        <is>
          <t>우리 로얄과 2kg</t>
        </is>
      </c>
      <c r="E6" s="12" t="n">
        <v>15000</v>
      </c>
      <c r="F6" s="6">
        <f>ROUND((E6+'설정'!$B$5)/(1-'설정'!$B$6),-2)</f>
        <v/>
      </c>
      <c r="G6" s="15">
        <f>ROUND(MAX(F6,B6-300),-2)</f>
        <v/>
      </c>
      <c r="H6" s="16">
        <f>G6*(1-'설정'!$B$6)-E6-'설정'!$B$5</f>
        <v/>
      </c>
      <c r="I6" s="17">
        <f>IF(G6=0,0,H6/G6)</f>
        <v/>
      </c>
      <c r="J6" s="16">
        <f>ROUND(G6/20.0,0)</f>
        <v/>
      </c>
      <c r="K6" s="19">
        <f>IF(B6-300&gt;=F6,"✅ 이길 수 있음","⚠️ 빠듯")</f>
        <v/>
      </c>
    </row>
    <row r="7">
      <c r="A7" s="19" t="inlineStr">
        <is>
          <t>소과 3kg(60g/개)</t>
        </is>
      </c>
      <c r="B7" s="16" t="n">
        <v>20800</v>
      </c>
      <c r="C7" s="16">
        <f>ROUND(B7/30.0,0)</f>
        <v/>
      </c>
      <c r="D7" s="19" t="inlineStr">
        <is>
          <t>우리 3kg 공급 없음</t>
        </is>
      </c>
      <c r="E7" s="11" t="inlineStr">
        <is>
          <t>-</t>
        </is>
      </c>
      <c r="F7" s="11" t="inlineStr">
        <is>
          <t>-</t>
        </is>
      </c>
      <c r="G7" s="11" t="inlineStr">
        <is>
          <t>-</t>
        </is>
      </c>
      <c r="H7" s="11" t="inlineStr">
        <is>
          <t>-</t>
        </is>
      </c>
      <c r="I7" s="11" t="inlineStr">
        <is>
          <t>-</t>
        </is>
      </c>
      <c r="J7" s="11" t="inlineStr">
        <is>
          <t>-</t>
        </is>
      </c>
      <c r="K7" s="19" t="inlineStr">
        <is>
          <t>❓3kg 매입가 협의 필요</t>
        </is>
      </c>
    </row>
    <row r="8">
      <c r="A8" s="19" t="inlineStr">
        <is>
          <t>중과 3kg(80g/개)</t>
        </is>
      </c>
      <c r="B8" s="16" t="n">
        <v>21500</v>
      </c>
      <c r="C8" s="16">
        <f>ROUND(B8/30.0,0)</f>
        <v/>
      </c>
      <c r="D8" s="19" t="inlineStr">
        <is>
          <t>우리 3kg 공급 없음</t>
        </is>
      </c>
      <c r="E8" s="11" t="inlineStr">
        <is>
          <t>-</t>
        </is>
      </c>
      <c r="F8" s="11" t="inlineStr">
        <is>
          <t>-</t>
        </is>
      </c>
      <c r="G8" s="11" t="inlineStr">
        <is>
          <t>-</t>
        </is>
      </c>
      <c r="H8" s="11" t="inlineStr">
        <is>
          <t>-</t>
        </is>
      </c>
      <c r="I8" s="11" t="inlineStr">
        <is>
          <t>-</t>
        </is>
      </c>
      <c r="J8" s="11" t="inlineStr">
        <is>
          <t>-</t>
        </is>
      </c>
      <c r="K8" s="19" t="inlineStr">
        <is>
          <t>❓3kg 매입가 협의 필요</t>
        </is>
      </c>
    </row>
    <row r="9">
      <c r="A9" s="19" t="inlineStr">
        <is>
          <t>대과 3kg(100g/개)</t>
        </is>
      </c>
      <c r="B9" s="16" t="n">
        <v>25200</v>
      </c>
      <c r="C9" s="16">
        <f>ROUND(B9/30.0,0)</f>
        <v/>
      </c>
      <c r="D9" s="19" t="inlineStr">
        <is>
          <t>우리 3kg 공급 없음</t>
        </is>
      </c>
      <c r="E9" s="11" t="inlineStr">
        <is>
          <t>-</t>
        </is>
      </c>
      <c r="F9" s="11" t="inlineStr">
        <is>
          <t>-</t>
        </is>
      </c>
      <c r="G9" s="11" t="inlineStr">
        <is>
          <t>-</t>
        </is>
      </c>
      <c r="H9" s="11" t="inlineStr">
        <is>
          <t>-</t>
        </is>
      </c>
      <c r="I9" s="11" t="inlineStr">
        <is>
          <t>-</t>
        </is>
      </c>
      <c r="J9" s="11" t="inlineStr">
        <is>
          <t>-</t>
        </is>
      </c>
      <c r="K9" s="19" t="inlineStr">
        <is>
          <t>❓3kg 매입가 협의 필요</t>
        </is>
      </c>
    </row>
  </sheetData>
  <mergeCells count="2">
    <mergeCell ref="A2:K2"/>
    <mergeCell ref="A1:K1"/>
  </mergeCells>
  <conditionalFormatting sqref="H4:H9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2026-06-29T08:10:25Z</dcterms:created>
  <dcterms:modified xsi:type="dcterms:W3CDTF">2026-06-29T08:10:25Z</dcterms:modified>
</cp:coreProperties>
</file>