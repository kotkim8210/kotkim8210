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싱현황" sheetId="1" state="visible" r:id="rId1"/>
    <sheet xmlns:r="http://schemas.openxmlformats.org/officeDocument/2006/relationships" name="가정" sheetId="2" state="visible" r:id="rId2"/>
    <sheet xmlns:r="http://schemas.openxmlformats.org/officeDocument/2006/relationships" name="세율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0.0%"/>
    <numFmt numFmtId="166" formatCode="0.0"/>
    <numFmt numFmtId="167" formatCode="0.00_);[Red]\(0.00\)"/>
  </numFmts>
  <fonts count="9">
    <font>
      <name val="Calibri"/>
      <family val="2"/>
      <color theme="1"/>
      <sz val="11"/>
      <scheme val="minor"/>
    </font>
    <font>
      <name val="LG Smart UI SemiBold"/>
      <b val="1"/>
      <color rgb="00FFFFFF"/>
      <sz val="14"/>
    </font>
    <font>
      <name val="LG Smart UI SemiBold"/>
      <b val="1"/>
      <sz val="10"/>
    </font>
    <font>
      <name val="LG Smart UI SemiBold"/>
      <sz val="9"/>
    </font>
    <font>
      <name val="LG Smart UI SemiBold"/>
      <color rgb="000000FF"/>
      <sz val="9"/>
    </font>
    <font>
      <name val="LG Smart UI SemiBold"/>
      <i val="1"/>
      <color rgb="00666666"/>
      <sz val="8"/>
    </font>
    <font>
      <name val="LG Smart UI SemiBold"/>
      <color rgb="00000000"/>
      <sz val="9"/>
    </font>
    <font>
      <name val="LG Smart UI SemiBold"/>
      <b val="1"/>
      <sz val="9"/>
    </font>
    <font>
      <name val="LG Smart UI SemiBold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164" fontId="6" fillId="0" borderId="1" pivotButton="0" quotePrefix="0" xfId="0"/>
    <xf numFmtId="167" fontId="4" fillId="4" borderId="1" pivotButton="0" quotePrefix="0" xfId="0"/>
    <xf numFmtId="165" fontId="4" fillId="4" borderId="1" pivotButton="0" quotePrefix="0" xfId="0"/>
    <xf numFmtId="165" fontId="6" fillId="0" borderId="1" pivotButton="0" quotePrefix="0" xfId="0"/>
    <xf numFmtId="164" fontId="4" fillId="5" borderId="1" pivotButton="0" quotePrefix="0" xfId="0"/>
    <xf numFmtId="165" fontId="4" fillId="5" borderId="1" pivotButton="0" quotePrefix="0" xfId="0"/>
    <xf numFmtId="164" fontId="6" fillId="6" borderId="1" pivotButton="0" quotePrefix="0" xfId="0"/>
    <xf numFmtId="166" fontId="6" fillId="6" borderId="1" pivotButton="0" quotePrefix="0" xfId="0"/>
    <xf numFmtId="0" fontId="6" fillId="6" borderId="1" applyAlignment="1" pivotButton="0" quotePrefix="0" xfId="0">
      <alignment horizontal="center"/>
    </xf>
    <xf numFmtId="0" fontId="8" fillId="2" borderId="0" pivotButton="0" quotePrefix="0" xfId="0"/>
    <xf numFmtId="0" fontId="3" fillId="0" borderId="0" pivotButton="0" quotePrefix="0" xfId="0"/>
    <xf numFmtId="166" fontId="6" fillId="0" borderId="1" pivotButton="0" quotePrefix="0" xfId="0"/>
    <xf numFmtId="0" fontId="2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66" fontId="4" fillId="4" borderId="1" pivotButton="0" quotePrefix="0" xfId="0"/>
    <xf numFmtId="0" fontId="7" fillId="0" borderId="0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3" borderId="1" applyAlignment="1" pivotButton="0" quotePrefix="0" xfId="0">
      <alignment horizontal="center"/>
    </xf>
    <xf numFmtId="164" fontId="3" fillId="0" borderId="1" pivotButton="0" quotePrefix="0" xfId="0"/>
    <xf numFmtId="165" fontId="3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dxfs count="3">
    <dxf>
      <font>
        <name val="LG Smart UI SemiBold"/>
        <b val="1"/>
        <color rgb="009C0006"/>
        <sz val="9"/>
      </font>
      <fill>
        <patternFill patternType="solid">
          <fgColor rgb="00FFC7CE"/>
        </patternFill>
      </fill>
    </dxf>
    <dxf>
      <font>
        <name val="LG Smart UI SemiBold"/>
        <b val="1"/>
        <color rgb="00006100"/>
        <sz val="9"/>
      </font>
      <fill>
        <patternFill patternType="solid">
          <fgColor rgb="00C6EFCE"/>
        </patternFill>
      </fill>
    </dxf>
    <dxf>
      <font>
        <name val="LG Smart UI SemiBold"/>
        <color rgb="009C6500"/>
        <sz val="9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218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1" customWidth="1" min="1" max="1"/>
    <col width="5.4" customWidth="1" min="2" max="2"/>
    <col width="5.9" customWidth="1" min="3" max="3"/>
    <col width="45.4" customWidth="1" min="4" max="4"/>
    <col width="17.4" customWidth="1" min="5" max="5"/>
    <col width="9" customWidth="1" min="6" max="6"/>
    <col width="11.4" customWidth="1" min="7" max="7"/>
    <col width="12.4" customWidth="1" min="8" max="8"/>
    <col width="11.4" customWidth="1" min="9" max="9"/>
    <col width="11.4" customWidth="1" min="10" max="10"/>
    <col width="11.4" customWidth="1" min="11" max="11"/>
    <col width="12.4" customWidth="1" min="12" max="12"/>
    <col width="13.4" customWidth="1" min="13" max="13"/>
    <col width="11.4" customWidth="1" min="14" max="14"/>
    <col width="0.9" customWidth="1" min="15" max="15"/>
    <col width="11.4" customWidth="1" min="16" max="16"/>
    <col width="11.4" customWidth="1" min="17" max="17"/>
    <col width="11.4" customWidth="1" min="18" max="18"/>
    <col width="11.4" customWidth="1" min="19" max="19"/>
    <col width="11.4" customWidth="1" min="20" max="20"/>
    <col width="11.4" customWidth="1" min="21" max="21"/>
    <col width="9" customWidth="1" min="22" max="22"/>
    <col width="0.9" customWidth="1" min="23" max="23"/>
    <col width="22" customWidth="1" min="24" max="24"/>
    <col width="14" customWidth="1" min="25" max="25"/>
    <col width="22" customWidth="1" min="26" max="26"/>
    <col width="12" customWidth="1" min="27" max="27"/>
    <col width="12" customWidth="1" min="28" max="28"/>
    <col width="13" customWidth="1" min="29" max="29"/>
    <col width="12" customWidth="1" min="30" max="30"/>
    <col width="12" customWidth="1" min="31" max="31"/>
    <col width="12" customWidth="1" min="32" max="32"/>
    <col width="11" customWidth="1" min="33" max="33"/>
    <col width="10" customWidth="1" min="34" max="34"/>
    <col width="10" customWidth="1" min="35" max="35"/>
  </cols>
  <sheetData>
    <row r="2">
      <c r="B2" s="1" t="inlineStr">
        <is>
          <t>소싱현황 관리 · 마진계산기 V4 (일반사업자)</t>
        </is>
      </c>
      <c r="P2" s="2" t="inlineStr">
        <is>
          <t>① 노랑칸(판매가·원가·수수료…)을 채우면 마진이 나오고,
② 연두칸(경쟁사 최저가·리뷰·검색량·광고침투율)을 채우면 기회점수와 판정이 나옵니다.
③ 세율·환율·광고믹스는 [가정] 시트에서 한 번에 바꿉니다.</t>
        </is>
      </c>
    </row>
    <row r="3"/>
    <row r="4"/>
    <row r="5"/>
    <row r="7" ht="28" customHeight="1">
      <c r="B7" s="3" t="inlineStr">
        <is>
          <t>NO</t>
        </is>
      </c>
      <c r="C7" s="3" t="inlineStr">
        <is>
          <t>상품명</t>
        </is>
      </c>
      <c r="E7" s="3" t="inlineStr">
        <is>
          <t>옵션</t>
        </is>
      </c>
      <c r="F7" s="3" t="inlineStr">
        <is>
          <t>수량</t>
        </is>
      </c>
      <c r="G7" s="3" t="inlineStr">
        <is>
          <t>판매가</t>
        </is>
      </c>
      <c r="H7" s="3" t="inlineStr">
        <is>
          <t>배송비</t>
        </is>
      </c>
      <c r="I7" s="3" t="inlineStr">
        <is>
          <t>공급가</t>
        </is>
      </c>
      <c r="J7" s="3" t="inlineStr">
        <is>
          <t>원가(위안)</t>
        </is>
      </c>
      <c r="K7" s="3" t="inlineStr">
        <is>
          <t>수수료(%)</t>
        </is>
      </c>
      <c r="L7" s="3" t="inlineStr">
        <is>
          <t>물류비</t>
        </is>
      </c>
      <c r="M7" s="3" t="inlineStr">
        <is>
          <t>포장/부자재</t>
        </is>
      </c>
      <c r="N7" s="3" t="inlineStr">
        <is>
          <t>마케팅</t>
        </is>
      </c>
      <c r="P7" s="3" t="inlineStr">
        <is>
          <t>수수료</t>
        </is>
      </c>
      <c r="Q7" s="3" t="inlineStr">
        <is>
          <t>부가세</t>
        </is>
      </c>
      <c r="R7" s="3" t="inlineStr">
        <is>
          <t>1차 합계</t>
        </is>
      </c>
      <c r="S7" s="3" t="inlineStr">
        <is>
          <t>소득세</t>
        </is>
      </c>
      <c r="T7" s="3" t="inlineStr">
        <is>
          <t>기타</t>
        </is>
      </c>
      <c r="U7" s="3" t="inlineStr">
        <is>
          <t>마진</t>
        </is>
      </c>
      <c r="V7" s="3" t="inlineStr">
        <is>
          <t>마진율</t>
        </is>
      </c>
      <c r="X7" s="3" t="inlineStr">
        <is>
          <t>공급처URL</t>
        </is>
      </c>
      <c r="Y7" s="3" t="inlineStr">
        <is>
          <t>공급처URL2</t>
        </is>
      </c>
      <c r="Z7" s="3" t="inlineStr">
        <is>
          <t>경쟁사URL</t>
        </is>
      </c>
      <c r="AA7" s="4" t="inlineStr">
        <is>
          <t>경쟁사 최저가</t>
        </is>
      </c>
      <c r="AB7" s="4" t="inlineStr">
        <is>
          <t>경쟁 리뷰중앙</t>
        </is>
      </c>
      <c r="AC7" s="4" t="inlineStr">
        <is>
          <t>이길만한 경쟁%</t>
        </is>
      </c>
      <c r="AD7" s="4" t="inlineStr">
        <is>
          <t>광고 침투율</t>
        </is>
      </c>
      <c r="AE7" s="4" t="inlineStr">
        <is>
          <t>월 검색량</t>
        </is>
      </c>
      <c r="AF7" s="5" t="inlineStr">
        <is>
          <t>손익분기가</t>
        </is>
      </c>
      <c r="AG7" s="5" t="inlineStr">
        <is>
          <t>가격여유</t>
        </is>
      </c>
      <c r="AH7" s="5" t="inlineStr">
        <is>
          <t>기회점수</t>
        </is>
      </c>
      <c r="AI7" s="5" t="inlineStr">
        <is>
          <t>판정</t>
        </is>
      </c>
    </row>
    <row r="8">
      <c r="B8" s="6" t="n">
        <v>1</v>
      </c>
      <c r="C8" s="7" t="n"/>
      <c r="E8" s="7" t="n"/>
      <c r="F8" s="7" t="n"/>
      <c r="G8" s="8" t="n"/>
      <c r="H8" s="8" t="n">
        <v>0</v>
      </c>
      <c r="I8" s="9">
        <f>J8*가정!$C$10</f>
        <v/>
      </c>
      <c r="J8" s="10" t="n"/>
      <c r="K8" s="11">
        <f>가정!$C$14</f>
        <v/>
      </c>
      <c r="L8" s="8" t="n"/>
      <c r="M8" s="8" t="n"/>
      <c r="N8" s="9">
        <f>IF(가정!$C$25="Y",가정!$C$24,G8*가정!$C$16)</f>
        <v/>
      </c>
      <c r="P8" s="9">
        <f>(G8*K8)+(H8*가정!$C$15)</f>
        <v/>
      </c>
      <c r="Q8" s="9">
        <f>IF(가정!$C$5="간이과세",(G8+H8)*0.015,(G8+H8)/11-((L8+M8+N8+P8)/11)-IF(가정!$C$11="정식통관",I8*가정!$C$12,0))</f>
        <v/>
      </c>
      <c r="R8" s="9">
        <f>G8+H8-I8-L8-M8-N8-P8-Q8</f>
        <v/>
      </c>
      <c r="S8" s="9">
        <f>MAX(0,R8)*가정!$C$7</f>
        <v/>
      </c>
      <c r="T8" s="9">
        <f>G8*가정!$C$17</f>
        <v/>
      </c>
      <c r="U8" s="9">
        <f>R8-S8-T8</f>
        <v/>
      </c>
      <c r="V8" s="12">
        <f>IF(G8=0,"",U8/G8)</f>
        <v/>
      </c>
      <c r="X8" s="7" t="n"/>
      <c r="Y8" s="7" t="n"/>
      <c r="Z8" s="7" t="n"/>
      <c r="AA8" s="13" t="n"/>
      <c r="AB8" s="13" t="n"/>
      <c r="AC8" s="14" t="n"/>
      <c r="AD8" s="14" t="n"/>
      <c r="AE8" s="13" t="n"/>
      <c r="AF8" s="15">
        <f>IF((1-K8-가정!$C$16-가정!$C$17-가정!$C$27-1/11)&lt;=0,"",IFERROR((I8+L8+M8)/(1-K8-가정!$C$16-가정!$C$17-가정!$C$27-1/11),""))</f>
        <v/>
      </c>
      <c r="AG8" s="15">
        <f>IF(OR(AA8="",AF8=""),"",AA8-AF8)</f>
        <v/>
      </c>
      <c r="AH8" s="16">
        <f>IF(G8="","",IFERROR((IF(AE8="",0,가정!$C$31*MIN(1,LOG(AE8+1)/LOG(가정!$C$30)))+IF(AB8="",0,가정!$C$32*(MAX(0,1-AB8/가정!$C$29)*0.6+AC8*0.4))+IF(AD8="",0,가정!$C$33*MAX(0,1-AD8))+IF(V8="",0,가정!$C$34*MIN(1,MAX(0,(V8-가정!$C$27)/(가정!$C$28-가정!$C$27)))))/(IF(AE8="",0,가정!$C$31)+IF(AB8="",0,가정!$C$32)+IF(AD8="",0,가정!$C$33)+IF(V8="",0,가정!$C$34))*100,""))</f>
        <v/>
      </c>
      <c r="AI8" s="17">
        <f>IF(AH8="","",IF(U8&lt;=0,"역마진",IF(AH8&gt;=가정!$C$35,"GO",IF(AH8&gt;=가정!$C$36,"검토","SKIP"))))</f>
        <v/>
      </c>
    </row>
    <row r="9">
      <c r="B9" s="6" t="n">
        <v>2</v>
      </c>
      <c r="C9" s="7" t="n"/>
      <c r="E9" s="7" t="n"/>
      <c r="F9" s="7" t="n"/>
      <c r="G9" s="8" t="n"/>
      <c r="H9" s="8" t="n">
        <v>0</v>
      </c>
      <c r="I9" s="9">
        <f>J9*가정!$C$10</f>
        <v/>
      </c>
      <c r="J9" s="10" t="n"/>
      <c r="K9" s="11">
        <f>가정!$C$14</f>
        <v/>
      </c>
      <c r="L9" s="8" t="n"/>
      <c r="M9" s="8" t="n"/>
      <c r="N9" s="9">
        <f>IF(가정!$C$25="Y",가정!$C$24,G9*가정!$C$16)</f>
        <v/>
      </c>
      <c r="P9" s="9">
        <f>(G9*K9)+(H9*가정!$C$15)</f>
        <v/>
      </c>
      <c r="Q9" s="9">
        <f>IF(가정!$C$5="간이과세",(G9+H9)*0.015,(G9+H9)/11-((L9+M9+N9+P9)/11)-IF(가정!$C$11="정식통관",I9*가정!$C$12,0))</f>
        <v/>
      </c>
      <c r="R9" s="9">
        <f>G9+H9-I9-L9-M9-N9-P9-Q9</f>
        <v/>
      </c>
      <c r="S9" s="9">
        <f>MAX(0,R9)*가정!$C$7</f>
        <v/>
      </c>
      <c r="T9" s="9">
        <f>G9*가정!$C$17</f>
        <v/>
      </c>
      <c r="U9" s="9">
        <f>R9-S9-T9</f>
        <v/>
      </c>
      <c r="V9" s="12">
        <f>IF(G9=0,"",U9/G9)</f>
        <v/>
      </c>
      <c r="X9" s="7" t="n"/>
      <c r="Y9" s="7" t="n"/>
      <c r="Z9" s="7" t="n"/>
      <c r="AA9" s="13" t="n"/>
      <c r="AB9" s="13" t="n"/>
      <c r="AC9" s="14" t="n"/>
      <c r="AD9" s="14" t="n"/>
      <c r="AE9" s="13" t="n"/>
      <c r="AF9" s="15">
        <f>IF((1-K9-가정!$C$16-가정!$C$17-가정!$C$27-1/11)&lt;=0,"",IFERROR((I9+L9+M9)/(1-K9-가정!$C$16-가정!$C$17-가정!$C$27-1/11),""))</f>
        <v/>
      </c>
      <c r="AG9" s="15">
        <f>IF(OR(AA9="",AF9=""),"",AA9-AF9)</f>
        <v/>
      </c>
      <c r="AH9" s="16">
        <f>IF(G9="","",IFERROR((IF(AE9="",0,가정!$C$31*MIN(1,LOG(AE9+1)/LOG(가정!$C$30)))+IF(AB9="",0,가정!$C$32*(MAX(0,1-AB9/가정!$C$29)*0.6+AC9*0.4))+IF(AD9="",0,가정!$C$33*MAX(0,1-AD9))+IF(V9="",0,가정!$C$34*MIN(1,MAX(0,(V9-가정!$C$27)/(가정!$C$28-가정!$C$27)))))/(IF(AE9="",0,가정!$C$31)+IF(AB9="",0,가정!$C$32)+IF(AD9="",0,가정!$C$33)+IF(V9="",0,가정!$C$34))*100,""))</f>
        <v/>
      </c>
      <c r="AI9" s="17">
        <f>IF(AH9="","",IF(U9&lt;=0,"역마진",IF(AH9&gt;=가정!$C$35,"GO",IF(AH9&gt;=가정!$C$36,"검토","SKIP"))))</f>
        <v/>
      </c>
    </row>
    <row r="10">
      <c r="B10" s="6" t="n">
        <v>3</v>
      </c>
      <c r="C10" s="7" t="n"/>
      <c r="E10" s="7" t="n"/>
      <c r="F10" s="7" t="n"/>
      <c r="G10" s="8" t="n"/>
      <c r="H10" s="8" t="n">
        <v>0</v>
      </c>
      <c r="I10" s="9">
        <f>J10*가정!$C$10</f>
        <v/>
      </c>
      <c r="J10" s="10" t="n"/>
      <c r="K10" s="11">
        <f>가정!$C$14</f>
        <v/>
      </c>
      <c r="L10" s="8" t="n"/>
      <c r="M10" s="8" t="n"/>
      <c r="N10" s="9">
        <f>IF(가정!$C$25="Y",가정!$C$24,G10*가정!$C$16)</f>
        <v/>
      </c>
      <c r="P10" s="9">
        <f>(G10*K10)+(H10*가정!$C$15)</f>
        <v/>
      </c>
      <c r="Q10" s="9">
        <f>IF(가정!$C$5="간이과세",(G10+H10)*0.015,(G10+H10)/11-((L10+M10+N10+P10)/11)-IF(가정!$C$11="정식통관",I10*가정!$C$12,0))</f>
        <v/>
      </c>
      <c r="R10" s="9">
        <f>G10+H10-I10-L10-M10-N10-P10-Q10</f>
        <v/>
      </c>
      <c r="S10" s="9">
        <f>MAX(0,R10)*가정!$C$7</f>
        <v/>
      </c>
      <c r="T10" s="9">
        <f>G10*가정!$C$17</f>
        <v/>
      </c>
      <c r="U10" s="9">
        <f>R10-S10-T10</f>
        <v/>
      </c>
      <c r="V10" s="12">
        <f>IF(G10=0,"",U10/G10)</f>
        <v/>
      </c>
      <c r="X10" s="7" t="n"/>
      <c r="Y10" s="7" t="n"/>
      <c r="Z10" s="7" t="n"/>
      <c r="AA10" s="13" t="n"/>
      <c r="AB10" s="13" t="n"/>
      <c r="AC10" s="14" t="n"/>
      <c r="AD10" s="14" t="n"/>
      <c r="AE10" s="13" t="n"/>
      <c r="AF10" s="15">
        <f>IF((1-K10-가정!$C$16-가정!$C$17-가정!$C$27-1/11)&lt;=0,"",IFERROR((I10+L10+M10)/(1-K10-가정!$C$16-가정!$C$17-가정!$C$27-1/11),""))</f>
        <v/>
      </c>
      <c r="AG10" s="15">
        <f>IF(OR(AA10="",AF10=""),"",AA10-AF10)</f>
        <v/>
      </c>
      <c r="AH10" s="16">
        <f>IF(G10="","",IFERROR((IF(AE10="",0,가정!$C$31*MIN(1,LOG(AE10+1)/LOG(가정!$C$30)))+IF(AB10="",0,가정!$C$32*(MAX(0,1-AB10/가정!$C$29)*0.6+AC10*0.4))+IF(AD10="",0,가정!$C$33*MAX(0,1-AD10))+IF(V10="",0,가정!$C$34*MIN(1,MAX(0,(V10-가정!$C$27)/(가정!$C$28-가정!$C$27)))))/(IF(AE10="",0,가정!$C$31)+IF(AB10="",0,가정!$C$32)+IF(AD10="",0,가정!$C$33)+IF(V10="",0,가정!$C$34))*100,""))</f>
        <v/>
      </c>
      <c r="AI10" s="17">
        <f>IF(AH10="","",IF(U10&lt;=0,"역마진",IF(AH10&gt;=가정!$C$35,"GO",IF(AH10&gt;=가정!$C$36,"검토","SKIP"))))</f>
        <v/>
      </c>
    </row>
    <row r="11">
      <c r="B11" s="6" t="n">
        <v>4</v>
      </c>
      <c r="C11" s="7" t="n"/>
      <c r="E11" s="7" t="n"/>
      <c r="F11" s="7" t="n"/>
      <c r="G11" s="8" t="n"/>
      <c r="H11" s="8" t="n">
        <v>0</v>
      </c>
      <c r="I11" s="9">
        <f>J11*가정!$C$10</f>
        <v/>
      </c>
      <c r="J11" s="10" t="n"/>
      <c r="K11" s="11">
        <f>가정!$C$14</f>
        <v/>
      </c>
      <c r="L11" s="8" t="n"/>
      <c r="M11" s="8" t="n"/>
      <c r="N11" s="9">
        <f>IF(가정!$C$25="Y",가정!$C$24,G11*가정!$C$16)</f>
        <v/>
      </c>
      <c r="P11" s="9">
        <f>(G11*K11)+(H11*가정!$C$15)</f>
        <v/>
      </c>
      <c r="Q11" s="9">
        <f>IF(가정!$C$5="간이과세",(G11+H11)*0.015,(G11+H11)/11-((L11+M11+N11+P11)/11)-IF(가정!$C$11="정식통관",I11*가정!$C$12,0))</f>
        <v/>
      </c>
      <c r="R11" s="9">
        <f>G11+H11-I11-L11-M11-N11-P11-Q11</f>
        <v/>
      </c>
      <c r="S11" s="9">
        <f>MAX(0,R11)*가정!$C$7</f>
        <v/>
      </c>
      <c r="T11" s="9">
        <f>G11*가정!$C$17</f>
        <v/>
      </c>
      <c r="U11" s="9">
        <f>R11-S11-T11</f>
        <v/>
      </c>
      <c r="V11" s="12">
        <f>IF(G11=0,"",U11/G11)</f>
        <v/>
      </c>
      <c r="X11" s="7" t="n"/>
      <c r="Y11" s="7" t="n"/>
      <c r="Z11" s="7" t="n"/>
      <c r="AA11" s="13" t="n"/>
      <c r="AB11" s="13" t="n"/>
      <c r="AC11" s="14" t="n"/>
      <c r="AD11" s="14" t="n"/>
      <c r="AE11" s="13" t="n"/>
      <c r="AF11" s="15">
        <f>IF((1-K11-가정!$C$16-가정!$C$17-가정!$C$27-1/11)&lt;=0,"",IFERROR((I11+L11+M11)/(1-K11-가정!$C$16-가정!$C$17-가정!$C$27-1/11),""))</f>
        <v/>
      </c>
      <c r="AG11" s="15">
        <f>IF(OR(AA11="",AF11=""),"",AA11-AF11)</f>
        <v/>
      </c>
      <c r="AH11" s="16">
        <f>IF(G11="","",IFERROR((IF(AE11="",0,가정!$C$31*MIN(1,LOG(AE11+1)/LOG(가정!$C$30)))+IF(AB11="",0,가정!$C$32*(MAX(0,1-AB11/가정!$C$29)*0.6+AC11*0.4))+IF(AD11="",0,가정!$C$33*MAX(0,1-AD11))+IF(V11="",0,가정!$C$34*MIN(1,MAX(0,(V11-가정!$C$27)/(가정!$C$28-가정!$C$27)))))/(IF(AE11="",0,가정!$C$31)+IF(AB11="",0,가정!$C$32)+IF(AD11="",0,가정!$C$33)+IF(V11="",0,가정!$C$34))*100,""))</f>
        <v/>
      </c>
      <c r="AI11" s="17">
        <f>IF(AH11="","",IF(U11&lt;=0,"역마진",IF(AH11&gt;=가정!$C$35,"GO",IF(AH11&gt;=가정!$C$36,"검토","SKIP"))))</f>
        <v/>
      </c>
    </row>
    <row r="12">
      <c r="B12" s="6" t="n">
        <v>5</v>
      </c>
      <c r="C12" s="7" t="n"/>
      <c r="E12" s="7" t="n"/>
      <c r="F12" s="7" t="n"/>
      <c r="G12" s="8" t="n"/>
      <c r="H12" s="8" t="n">
        <v>0</v>
      </c>
      <c r="I12" s="9">
        <f>J12*가정!$C$10</f>
        <v/>
      </c>
      <c r="J12" s="10" t="n"/>
      <c r="K12" s="11">
        <f>가정!$C$14</f>
        <v/>
      </c>
      <c r="L12" s="8" t="n"/>
      <c r="M12" s="8" t="n"/>
      <c r="N12" s="9">
        <f>IF(가정!$C$25="Y",가정!$C$24,G12*가정!$C$16)</f>
        <v/>
      </c>
      <c r="P12" s="9">
        <f>(G12*K12)+(H12*가정!$C$15)</f>
        <v/>
      </c>
      <c r="Q12" s="9">
        <f>IF(가정!$C$5="간이과세",(G12+H12)*0.015,(G12+H12)/11-((L12+M12+N12+P12)/11)-IF(가정!$C$11="정식통관",I12*가정!$C$12,0))</f>
        <v/>
      </c>
      <c r="R12" s="9">
        <f>G12+H12-I12-L12-M12-N12-P12-Q12</f>
        <v/>
      </c>
      <c r="S12" s="9">
        <f>MAX(0,R12)*가정!$C$7</f>
        <v/>
      </c>
      <c r="T12" s="9">
        <f>G12*가정!$C$17</f>
        <v/>
      </c>
      <c r="U12" s="9">
        <f>R12-S12-T12</f>
        <v/>
      </c>
      <c r="V12" s="12">
        <f>IF(G12=0,"",U12/G12)</f>
        <v/>
      </c>
      <c r="X12" s="7" t="n"/>
      <c r="Y12" s="7" t="n"/>
      <c r="Z12" s="7" t="n"/>
      <c r="AA12" s="13" t="n"/>
      <c r="AB12" s="13" t="n"/>
      <c r="AC12" s="14" t="n"/>
      <c r="AD12" s="14" t="n"/>
      <c r="AE12" s="13" t="n"/>
      <c r="AF12" s="15">
        <f>IF((1-K12-가정!$C$16-가정!$C$17-가정!$C$27-1/11)&lt;=0,"",IFERROR((I12+L12+M12)/(1-K12-가정!$C$16-가정!$C$17-가정!$C$27-1/11),""))</f>
        <v/>
      </c>
      <c r="AG12" s="15">
        <f>IF(OR(AA12="",AF12=""),"",AA12-AF12)</f>
        <v/>
      </c>
      <c r="AH12" s="16">
        <f>IF(G12="","",IFERROR((IF(AE12="",0,가정!$C$31*MIN(1,LOG(AE12+1)/LOG(가정!$C$30)))+IF(AB12="",0,가정!$C$32*(MAX(0,1-AB12/가정!$C$29)*0.6+AC12*0.4))+IF(AD12="",0,가정!$C$33*MAX(0,1-AD12))+IF(V12="",0,가정!$C$34*MIN(1,MAX(0,(V12-가정!$C$27)/(가정!$C$28-가정!$C$27)))))/(IF(AE12="",0,가정!$C$31)+IF(AB12="",0,가정!$C$32)+IF(AD12="",0,가정!$C$33)+IF(V12="",0,가정!$C$34))*100,""))</f>
        <v/>
      </c>
      <c r="AI12" s="17">
        <f>IF(AH12="","",IF(U12&lt;=0,"역마진",IF(AH12&gt;=가정!$C$35,"GO",IF(AH12&gt;=가정!$C$36,"검토","SKIP"))))</f>
        <v/>
      </c>
    </row>
    <row r="13">
      <c r="B13" s="6" t="n">
        <v>6</v>
      </c>
      <c r="C13" s="7" t="n"/>
      <c r="E13" s="7" t="n"/>
      <c r="F13" s="7" t="n"/>
      <c r="G13" s="8" t="n"/>
      <c r="H13" s="8" t="n">
        <v>0</v>
      </c>
      <c r="I13" s="9">
        <f>J13*가정!$C$10</f>
        <v/>
      </c>
      <c r="J13" s="10" t="n"/>
      <c r="K13" s="11">
        <f>가정!$C$14</f>
        <v/>
      </c>
      <c r="L13" s="8" t="n"/>
      <c r="M13" s="8" t="n"/>
      <c r="N13" s="9">
        <f>IF(가정!$C$25="Y",가정!$C$24,G13*가정!$C$16)</f>
        <v/>
      </c>
      <c r="P13" s="9">
        <f>(G13*K13)+(H13*가정!$C$15)</f>
        <v/>
      </c>
      <c r="Q13" s="9">
        <f>IF(가정!$C$5="간이과세",(G13+H13)*0.015,(G13+H13)/11-((L13+M13+N13+P13)/11)-IF(가정!$C$11="정식통관",I13*가정!$C$12,0))</f>
        <v/>
      </c>
      <c r="R13" s="9">
        <f>G13+H13-I13-L13-M13-N13-P13-Q13</f>
        <v/>
      </c>
      <c r="S13" s="9">
        <f>MAX(0,R13)*가정!$C$7</f>
        <v/>
      </c>
      <c r="T13" s="9">
        <f>G13*가정!$C$17</f>
        <v/>
      </c>
      <c r="U13" s="9">
        <f>R13-S13-T13</f>
        <v/>
      </c>
      <c r="V13" s="12">
        <f>IF(G13=0,"",U13/G13)</f>
        <v/>
      </c>
      <c r="X13" s="7" t="n"/>
      <c r="Y13" s="7" t="n"/>
      <c r="Z13" s="7" t="n"/>
      <c r="AA13" s="13" t="n"/>
      <c r="AB13" s="13" t="n"/>
      <c r="AC13" s="14" t="n"/>
      <c r="AD13" s="14" t="n"/>
      <c r="AE13" s="13" t="n"/>
      <c r="AF13" s="15">
        <f>IF((1-K13-가정!$C$16-가정!$C$17-가정!$C$27-1/11)&lt;=0,"",IFERROR((I13+L13+M13)/(1-K13-가정!$C$16-가정!$C$17-가정!$C$27-1/11),""))</f>
        <v/>
      </c>
      <c r="AG13" s="15">
        <f>IF(OR(AA13="",AF13=""),"",AA13-AF13)</f>
        <v/>
      </c>
      <c r="AH13" s="16">
        <f>IF(G13="","",IFERROR((IF(AE13="",0,가정!$C$31*MIN(1,LOG(AE13+1)/LOG(가정!$C$30)))+IF(AB13="",0,가정!$C$32*(MAX(0,1-AB13/가정!$C$29)*0.6+AC13*0.4))+IF(AD13="",0,가정!$C$33*MAX(0,1-AD13))+IF(V13="",0,가정!$C$34*MIN(1,MAX(0,(V13-가정!$C$27)/(가정!$C$28-가정!$C$27)))))/(IF(AE13="",0,가정!$C$31)+IF(AB13="",0,가정!$C$32)+IF(AD13="",0,가정!$C$33)+IF(V13="",0,가정!$C$34))*100,""))</f>
        <v/>
      </c>
      <c r="AI13" s="17">
        <f>IF(AH13="","",IF(U13&lt;=0,"역마진",IF(AH13&gt;=가정!$C$35,"GO",IF(AH13&gt;=가정!$C$36,"검토","SKIP"))))</f>
        <v/>
      </c>
    </row>
    <row r="14">
      <c r="B14" s="6" t="n">
        <v>7</v>
      </c>
      <c r="C14" s="7" t="n"/>
      <c r="E14" s="7" t="n"/>
      <c r="F14" s="7" t="n"/>
      <c r="G14" s="8" t="n"/>
      <c r="H14" s="8" t="n">
        <v>0</v>
      </c>
      <c r="I14" s="9">
        <f>J14*가정!$C$10</f>
        <v/>
      </c>
      <c r="J14" s="10" t="n"/>
      <c r="K14" s="11">
        <f>가정!$C$14</f>
        <v/>
      </c>
      <c r="L14" s="8" t="n"/>
      <c r="M14" s="8" t="n"/>
      <c r="N14" s="9">
        <f>IF(가정!$C$25="Y",가정!$C$24,G14*가정!$C$16)</f>
        <v/>
      </c>
      <c r="P14" s="9">
        <f>(G14*K14)+(H14*가정!$C$15)</f>
        <v/>
      </c>
      <c r="Q14" s="9">
        <f>IF(가정!$C$5="간이과세",(G14+H14)*0.015,(G14+H14)/11-((L14+M14+N14+P14)/11)-IF(가정!$C$11="정식통관",I14*가정!$C$12,0))</f>
        <v/>
      </c>
      <c r="R14" s="9">
        <f>G14+H14-I14-L14-M14-N14-P14-Q14</f>
        <v/>
      </c>
      <c r="S14" s="9">
        <f>MAX(0,R14)*가정!$C$7</f>
        <v/>
      </c>
      <c r="T14" s="9">
        <f>G14*가정!$C$17</f>
        <v/>
      </c>
      <c r="U14" s="9">
        <f>R14-S14-T14</f>
        <v/>
      </c>
      <c r="V14" s="12">
        <f>IF(G14=0,"",U14/G14)</f>
        <v/>
      </c>
      <c r="X14" s="7" t="n"/>
      <c r="Y14" s="7" t="n"/>
      <c r="Z14" s="7" t="n"/>
      <c r="AA14" s="13" t="n"/>
      <c r="AB14" s="13" t="n"/>
      <c r="AC14" s="14" t="n"/>
      <c r="AD14" s="14" t="n"/>
      <c r="AE14" s="13" t="n"/>
      <c r="AF14" s="15">
        <f>IF((1-K14-가정!$C$16-가정!$C$17-가정!$C$27-1/11)&lt;=0,"",IFERROR((I14+L14+M14)/(1-K14-가정!$C$16-가정!$C$17-가정!$C$27-1/11),""))</f>
        <v/>
      </c>
      <c r="AG14" s="15">
        <f>IF(OR(AA14="",AF14=""),"",AA14-AF14)</f>
        <v/>
      </c>
      <c r="AH14" s="16">
        <f>IF(G14="","",IFERROR((IF(AE14="",0,가정!$C$31*MIN(1,LOG(AE14+1)/LOG(가정!$C$30)))+IF(AB14="",0,가정!$C$32*(MAX(0,1-AB14/가정!$C$29)*0.6+AC14*0.4))+IF(AD14="",0,가정!$C$33*MAX(0,1-AD14))+IF(V14="",0,가정!$C$34*MIN(1,MAX(0,(V14-가정!$C$27)/(가정!$C$28-가정!$C$27)))))/(IF(AE14="",0,가정!$C$31)+IF(AB14="",0,가정!$C$32)+IF(AD14="",0,가정!$C$33)+IF(V14="",0,가정!$C$34))*100,""))</f>
        <v/>
      </c>
      <c r="AI14" s="17">
        <f>IF(AH14="","",IF(U14&lt;=0,"역마진",IF(AH14&gt;=가정!$C$35,"GO",IF(AH14&gt;=가정!$C$36,"검토","SKIP"))))</f>
        <v/>
      </c>
    </row>
    <row r="15">
      <c r="B15" s="6" t="n">
        <v>8</v>
      </c>
      <c r="C15" s="7" t="n"/>
      <c r="E15" s="7" t="n"/>
      <c r="F15" s="7" t="n"/>
      <c r="G15" s="8" t="n"/>
      <c r="H15" s="8" t="n">
        <v>0</v>
      </c>
      <c r="I15" s="9">
        <f>J15*가정!$C$10</f>
        <v/>
      </c>
      <c r="J15" s="10" t="n"/>
      <c r="K15" s="11">
        <f>가정!$C$14</f>
        <v/>
      </c>
      <c r="L15" s="8" t="n"/>
      <c r="M15" s="8" t="n"/>
      <c r="N15" s="9">
        <f>IF(가정!$C$25="Y",가정!$C$24,G15*가정!$C$16)</f>
        <v/>
      </c>
      <c r="P15" s="9">
        <f>(G15*K15)+(H15*가정!$C$15)</f>
        <v/>
      </c>
      <c r="Q15" s="9">
        <f>IF(가정!$C$5="간이과세",(G15+H15)*0.015,(G15+H15)/11-((L15+M15+N15+P15)/11)-IF(가정!$C$11="정식통관",I15*가정!$C$12,0))</f>
        <v/>
      </c>
      <c r="R15" s="9">
        <f>G15+H15-I15-L15-M15-N15-P15-Q15</f>
        <v/>
      </c>
      <c r="S15" s="9">
        <f>MAX(0,R15)*가정!$C$7</f>
        <v/>
      </c>
      <c r="T15" s="9">
        <f>G15*가정!$C$17</f>
        <v/>
      </c>
      <c r="U15" s="9">
        <f>R15-S15-T15</f>
        <v/>
      </c>
      <c r="V15" s="12">
        <f>IF(G15=0,"",U15/G15)</f>
        <v/>
      </c>
      <c r="X15" s="7" t="n"/>
      <c r="Y15" s="7" t="n"/>
      <c r="Z15" s="7" t="n"/>
      <c r="AA15" s="13" t="n"/>
      <c r="AB15" s="13" t="n"/>
      <c r="AC15" s="14" t="n"/>
      <c r="AD15" s="14" t="n"/>
      <c r="AE15" s="13" t="n"/>
      <c r="AF15" s="15">
        <f>IF((1-K15-가정!$C$16-가정!$C$17-가정!$C$27-1/11)&lt;=0,"",IFERROR((I15+L15+M15)/(1-K15-가정!$C$16-가정!$C$17-가정!$C$27-1/11),""))</f>
        <v/>
      </c>
      <c r="AG15" s="15">
        <f>IF(OR(AA15="",AF15=""),"",AA15-AF15)</f>
        <v/>
      </c>
      <c r="AH15" s="16">
        <f>IF(G15="","",IFERROR((IF(AE15="",0,가정!$C$31*MIN(1,LOG(AE15+1)/LOG(가정!$C$30)))+IF(AB15="",0,가정!$C$32*(MAX(0,1-AB15/가정!$C$29)*0.6+AC15*0.4))+IF(AD15="",0,가정!$C$33*MAX(0,1-AD15))+IF(V15="",0,가정!$C$34*MIN(1,MAX(0,(V15-가정!$C$27)/(가정!$C$28-가정!$C$27)))))/(IF(AE15="",0,가정!$C$31)+IF(AB15="",0,가정!$C$32)+IF(AD15="",0,가정!$C$33)+IF(V15="",0,가정!$C$34))*100,""))</f>
        <v/>
      </c>
      <c r="AI15" s="17">
        <f>IF(AH15="","",IF(U15&lt;=0,"역마진",IF(AH15&gt;=가정!$C$35,"GO",IF(AH15&gt;=가정!$C$36,"검토","SKIP"))))</f>
        <v/>
      </c>
    </row>
    <row r="16">
      <c r="B16" s="6" t="n">
        <v>9</v>
      </c>
      <c r="C16" s="7" t="n"/>
      <c r="E16" s="7" t="n"/>
      <c r="F16" s="7" t="n"/>
      <c r="G16" s="8" t="n"/>
      <c r="H16" s="8" t="n">
        <v>0</v>
      </c>
      <c r="I16" s="9">
        <f>J16*가정!$C$10</f>
        <v/>
      </c>
      <c r="J16" s="10" t="n"/>
      <c r="K16" s="11">
        <f>가정!$C$14</f>
        <v/>
      </c>
      <c r="L16" s="8" t="n"/>
      <c r="M16" s="8" t="n"/>
      <c r="N16" s="9">
        <f>IF(가정!$C$25="Y",가정!$C$24,G16*가정!$C$16)</f>
        <v/>
      </c>
      <c r="P16" s="9">
        <f>(G16*K16)+(H16*가정!$C$15)</f>
        <v/>
      </c>
      <c r="Q16" s="9">
        <f>IF(가정!$C$5="간이과세",(G16+H16)*0.015,(G16+H16)/11-((L16+M16+N16+P16)/11)-IF(가정!$C$11="정식통관",I16*가정!$C$12,0))</f>
        <v/>
      </c>
      <c r="R16" s="9">
        <f>G16+H16-I16-L16-M16-N16-P16-Q16</f>
        <v/>
      </c>
      <c r="S16" s="9">
        <f>MAX(0,R16)*가정!$C$7</f>
        <v/>
      </c>
      <c r="T16" s="9">
        <f>G16*가정!$C$17</f>
        <v/>
      </c>
      <c r="U16" s="9">
        <f>R16-S16-T16</f>
        <v/>
      </c>
      <c r="V16" s="12">
        <f>IF(G16=0,"",U16/G16)</f>
        <v/>
      </c>
      <c r="X16" s="7" t="n"/>
      <c r="Y16" s="7" t="n"/>
      <c r="Z16" s="7" t="n"/>
      <c r="AA16" s="13" t="n"/>
      <c r="AB16" s="13" t="n"/>
      <c r="AC16" s="14" t="n"/>
      <c r="AD16" s="14" t="n"/>
      <c r="AE16" s="13" t="n"/>
      <c r="AF16" s="15">
        <f>IF((1-K16-가정!$C$16-가정!$C$17-가정!$C$27-1/11)&lt;=0,"",IFERROR((I16+L16+M16)/(1-K16-가정!$C$16-가정!$C$17-가정!$C$27-1/11),""))</f>
        <v/>
      </c>
      <c r="AG16" s="15">
        <f>IF(OR(AA16="",AF16=""),"",AA16-AF16)</f>
        <v/>
      </c>
      <c r="AH16" s="16">
        <f>IF(G16="","",IFERROR((IF(AE16="",0,가정!$C$31*MIN(1,LOG(AE16+1)/LOG(가정!$C$30)))+IF(AB16="",0,가정!$C$32*(MAX(0,1-AB16/가정!$C$29)*0.6+AC16*0.4))+IF(AD16="",0,가정!$C$33*MAX(0,1-AD16))+IF(V16="",0,가정!$C$34*MIN(1,MAX(0,(V16-가정!$C$27)/(가정!$C$28-가정!$C$27)))))/(IF(AE16="",0,가정!$C$31)+IF(AB16="",0,가정!$C$32)+IF(AD16="",0,가정!$C$33)+IF(V16="",0,가정!$C$34))*100,""))</f>
        <v/>
      </c>
      <c r="AI16" s="17">
        <f>IF(AH16="","",IF(U16&lt;=0,"역마진",IF(AH16&gt;=가정!$C$35,"GO",IF(AH16&gt;=가정!$C$36,"검토","SKIP"))))</f>
        <v/>
      </c>
    </row>
    <row r="17">
      <c r="B17" s="6" t="n">
        <v>10</v>
      </c>
      <c r="C17" s="7" t="n"/>
      <c r="E17" s="7" t="n"/>
      <c r="F17" s="7" t="n"/>
      <c r="G17" s="8" t="n"/>
      <c r="H17" s="8" t="n">
        <v>0</v>
      </c>
      <c r="I17" s="9">
        <f>J17*가정!$C$10</f>
        <v/>
      </c>
      <c r="J17" s="10" t="n"/>
      <c r="K17" s="11">
        <f>가정!$C$14</f>
        <v/>
      </c>
      <c r="L17" s="8" t="n"/>
      <c r="M17" s="8" t="n"/>
      <c r="N17" s="9">
        <f>IF(가정!$C$25="Y",가정!$C$24,G17*가정!$C$16)</f>
        <v/>
      </c>
      <c r="P17" s="9">
        <f>(G17*K17)+(H17*가정!$C$15)</f>
        <v/>
      </c>
      <c r="Q17" s="9">
        <f>IF(가정!$C$5="간이과세",(G17+H17)*0.015,(G17+H17)/11-((L17+M17+N17+P17)/11)-IF(가정!$C$11="정식통관",I17*가정!$C$12,0))</f>
        <v/>
      </c>
      <c r="R17" s="9">
        <f>G17+H17-I17-L17-M17-N17-P17-Q17</f>
        <v/>
      </c>
      <c r="S17" s="9">
        <f>MAX(0,R17)*가정!$C$7</f>
        <v/>
      </c>
      <c r="T17" s="9">
        <f>G17*가정!$C$17</f>
        <v/>
      </c>
      <c r="U17" s="9">
        <f>R17-S17-T17</f>
        <v/>
      </c>
      <c r="V17" s="12">
        <f>IF(G17=0,"",U17/G17)</f>
        <v/>
      </c>
      <c r="X17" s="7" t="n"/>
      <c r="Y17" s="7" t="n"/>
      <c r="Z17" s="7" t="n"/>
      <c r="AA17" s="13" t="n"/>
      <c r="AB17" s="13" t="n"/>
      <c r="AC17" s="14" t="n"/>
      <c r="AD17" s="14" t="n"/>
      <c r="AE17" s="13" t="n"/>
      <c r="AF17" s="15">
        <f>IF((1-K17-가정!$C$16-가정!$C$17-가정!$C$27-1/11)&lt;=0,"",IFERROR((I17+L17+M17)/(1-K17-가정!$C$16-가정!$C$17-가정!$C$27-1/11),""))</f>
        <v/>
      </c>
      <c r="AG17" s="15">
        <f>IF(OR(AA17="",AF17=""),"",AA17-AF17)</f>
        <v/>
      </c>
      <c r="AH17" s="16">
        <f>IF(G17="","",IFERROR((IF(AE17="",0,가정!$C$31*MIN(1,LOG(AE17+1)/LOG(가정!$C$30)))+IF(AB17="",0,가정!$C$32*(MAX(0,1-AB17/가정!$C$29)*0.6+AC17*0.4))+IF(AD17="",0,가정!$C$33*MAX(0,1-AD17))+IF(V17="",0,가정!$C$34*MIN(1,MAX(0,(V17-가정!$C$27)/(가정!$C$28-가정!$C$27)))))/(IF(AE17="",0,가정!$C$31)+IF(AB17="",0,가정!$C$32)+IF(AD17="",0,가정!$C$33)+IF(V17="",0,가정!$C$34))*100,""))</f>
        <v/>
      </c>
      <c r="AI17" s="17">
        <f>IF(AH17="","",IF(U17&lt;=0,"역마진",IF(AH17&gt;=가정!$C$35,"GO",IF(AH17&gt;=가정!$C$36,"검토","SKIP"))))</f>
        <v/>
      </c>
    </row>
    <row r="18">
      <c r="B18" s="6" t="n">
        <v>11</v>
      </c>
      <c r="C18" s="7" t="n"/>
      <c r="E18" s="7" t="n"/>
      <c r="F18" s="7" t="n"/>
      <c r="G18" s="8" t="n"/>
      <c r="H18" s="8" t="n">
        <v>0</v>
      </c>
      <c r="I18" s="9">
        <f>J18*가정!$C$10</f>
        <v/>
      </c>
      <c r="J18" s="10" t="n"/>
      <c r="K18" s="11">
        <f>가정!$C$14</f>
        <v/>
      </c>
      <c r="L18" s="8" t="n"/>
      <c r="M18" s="8" t="n"/>
      <c r="N18" s="9">
        <f>IF(가정!$C$25="Y",가정!$C$24,G18*가정!$C$16)</f>
        <v/>
      </c>
      <c r="P18" s="9">
        <f>(G18*K18)+(H18*가정!$C$15)</f>
        <v/>
      </c>
      <c r="Q18" s="9">
        <f>IF(가정!$C$5="간이과세",(G18+H18)*0.015,(G18+H18)/11-((L18+M18+N18+P18)/11)-IF(가정!$C$11="정식통관",I18*가정!$C$12,0))</f>
        <v/>
      </c>
      <c r="R18" s="9">
        <f>G18+H18-I18-L18-M18-N18-P18-Q18</f>
        <v/>
      </c>
      <c r="S18" s="9">
        <f>MAX(0,R18)*가정!$C$7</f>
        <v/>
      </c>
      <c r="T18" s="9">
        <f>G18*가정!$C$17</f>
        <v/>
      </c>
      <c r="U18" s="9">
        <f>R18-S18-T18</f>
        <v/>
      </c>
      <c r="V18" s="12">
        <f>IF(G18=0,"",U18/G18)</f>
        <v/>
      </c>
      <c r="X18" s="7" t="n"/>
      <c r="Y18" s="7" t="n"/>
      <c r="Z18" s="7" t="n"/>
      <c r="AA18" s="13" t="n"/>
      <c r="AB18" s="13" t="n"/>
      <c r="AC18" s="14" t="n"/>
      <c r="AD18" s="14" t="n"/>
      <c r="AE18" s="13" t="n"/>
      <c r="AF18" s="15">
        <f>IF((1-K18-가정!$C$16-가정!$C$17-가정!$C$27-1/11)&lt;=0,"",IFERROR((I18+L18+M18)/(1-K18-가정!$C$16-가정!$C$17-가정!$C$27-1/11),""))</f>
        <v/>
      </c>
      <c r="AG18" s="15">
        <f>IF(OR(AA18="",AF18=""),"",AA18-AF18)</f>
        <v/>
      </c>
      <c r="AH18" s="16">
        <f>IF(G18="","",IFERROR((IF(AE18="",0,가정!$C$31*MIN(1,LOG(AE18+1)/LOG(가정!$C$30)))+IF(AB18="",0,가정!$C$32*(MAX(0,1-AB18/가정!$C$29)*0.6+AC18*0.4))+IF(AD18="",0,가정!$C$33*MAX(0,1-AD18))+IF(V18="",0,가정!$C$34*MIN(1,MAX(0,(V18-가정!$C$27)/(가정!$C$28-가정!$C$27)))))/(IF(AE18="",0,가정!$C$31)+IF(AB18="",0,가정!$C$32)+IF(AD18="",0,가정!$C$33)+IF(V18="",0,가정!$C$34))*100,""))</f>
        <v/>
      </c>
      <c r="AI18" s="17">
        <f>IF(AH18="","",IF(U18&lt;=0,"역마진",IF(AH18&gt;=가정!$C$35,"GO",IF(AH18&gt;=가정!$C$36,"검토","SKIP"))))</f>
        <v/>
      </c>
    </row>
    <row r="19">
      <c r="B19" s="6" t="n">
        <v>12</v>
      </c>
      <c r="C19" s="7" t="n"/>
      <c r="E19" s="7" t="n"/>
      <c r="F19" s="7" t="n"/>
      <c r="G19" s="8" t="n"/>
      <c r="H19" s="8" t="n">
        <v>0</v>
      </c>
      <c r="I19" s="9">
        <f>J19*가정!$C$10</f>
        <v/>
      </c>
      <c r="J19" s="10" t="n"/>
      <c r="K19" s="11">
        <f>가정!$C$14</f>
        <v/>
      </c>
      <c r="L19" s="8" t="n"/>
      <c r="M19" s="8" t="n"/>
      <c r="N19" s="9">
        <f>IF(가정!$C$25="Y",가정!$C$24,G19*가정!$C$16)</f>
        <v/>
      </c>
      <c r="P19" s="9">
        <f>(G19*K19)+(H19*가정!$C$15)</f>
        <v/>
      </c>
      <c r="Q19" s="9">
        <f>IF(가정!$C$5="간이과세",(G19+H19)*0.015,(G19+H19)/11-((L19+M19+N19+P19)/11)-IF(가정!$C$11="정식통관",I19*가정!$C$12,0))</f>
        <v/>
      </c>
      <c r="R19" s="9">
        <f>G19+H19-I19-L19-M19-N19-P19-Q19</f>
        <v/>
      </c>
      <c r="S19" s="9">
        <f>MAX(0,R19)*가정!$C$7</f>
        <v/>
      </c>
      <c r="T19" s="9">
        <f>G19*가정!$C$17</f>
        <v/>
      </c>
      <c r="U19" s="9">
        <f>R19-S19-T19</f>
        <v/>
      </c>
      <c r="V19" s="12">
        <f>IF(G19=0,"",U19/G19)</f>
        <v/>
      </c>
      <c r="X19" s="7" t="n"/>
      <c r="Y19" s="7" t="n"/>
      <c r="Z19" s="7" t="n"/>
      <c r="AA19" s="13" t="n"/>
      <c r="AB19" s="13" t="n"/>
      <c r="AC19" s="14" t="n"/>
      <c r="AD19" s="14" t="n"/>
      <c r="AE19" s="13" t="n"/>
      <c r="AF19" s="15">
        <f>IF((1-K19-가정!$C$16-가정!$C$17-가정!$C$27-1/11)&lt;=0,"",IFERROR((I19+L19+M19)/(1-K19-가정!$C$16-가정!$C$17-가정!$C$27-1/11),""))</f>
        <v/>
      </c>
      <c r="AG19" s="15">
        <f>IF(OR(AA19="",AF19=""),"",AA19-AF19)</f>
        <v/>
      </c>
      <c r="AH19" s="16">
        <f>IF(G19="","",IFERROR((IF(AE19="",0,가정!$C$31*MIN(1,LOG(AE19+1)/LOG(가정!$C$30)))+IF(AB19="",0,가정!$C$32*(MAX(0,1-AB19/가정!$C$29)*0.6+AC19*0.4))+IF(AD19="",0,가정!$C$33*MAX(0,1-AD19))+IF(V19="",0,가정!$C$34*MIN(1,MAX(0,(V19-가정!$C$27)/(가정!$C$28-가정!$C$27)))))/(IF(AE19="",0,가정!$C$31)+IF(AB19="",0,가정!$C$32)+IF(AD19="",0,가정!$C$33)+IF(V19="",0,가정!$C$34))*100,""))</f>
        <v/>
      </c>
      <c r="AI19" s="17">
        <f>IF(AH19="","",IF(U19&lt;=0,"역마진",IF(AH19&gt;=가정!$C$35,"GO",IF(AH19&gt;=가정!$C$36,"검토","SKIP"))))</f>
        <v/>
      </c>
    </row>
    <row r="20">
      <c r="B20" s="6" t="n">
        <v>13</v>
      </c>
      <c r="C20" s="7" t="n"/>
      <c r="E20" s="7" t="n"/>
      <c r="F20" s="7" t="n"/>
      <c r="G20" s="8" t="n"/>
      <c r="H20" s="8" t="n">
        <v>0</v>
      </c>
      <c r="I20" s="9">
        <f>J20*가정!$C$10</f>
        <v/>
      </c>
      <c r="J20" s="10" t="n"/>
      <c r="K20" s="11">
        <f>가정!$C$14</f>
        <v/>
      </c>
      <c r="L20" s="8" t="n"/>
      <c r="M20" s="8" t="n"/>
      <c r="N20" s="9">
        <f>IF(가정!$C$25="Y",가정!$C$24,G20*가정!$C$16)</f>
        <v/>
      </c>
      <c r="P20" s="9">
        <f>(G20*K20)+(H20*가정!$C$15)</f>
        <v/>
      </c>
      <c r="Q20" s="9">
        <f>IF(가정!$C$5="간이과세",(G20+H20)*0.015,(G20+H20)/11-((L20+M20+N20+P20)/11)-IF(가정!$C$11="정식통관",I20*가정!$C$12,0))</f>
        <v/>
      </c>
      <c r="R20" s="9">
        <f>G20+H20-I20-L20-M20-N20-P20-Q20</f>
        <v/>
      </c>
      <c r="S20" s="9">
        <f>MAX(0,R20)*가정!$C$7</f>
        <v/>
      </c>
      <c r="T20" s="9">
        <f>G20*가정!$C$17</f>
        <v/>
      </c>
      <c r="U20" s="9">
        <f>R20-S20-T20</f>
        <v/>
      </c>
      <c r="V20" s="12">
        <f>IF(G20=0,"",U20/G20)</f>
        <v/>
      </c>
      <c r="X20" s="7" t="n"/>
      <c r="Y20" s="7" t="n"/>
      <c r="Z20" s="7" t="n"/>
      <c r="AA20" s="13" t="n"/>
      <c r="AB20" s="13" t="n"/>
      <c r="AC20" s="14" t="n"/>
      <c r="AD20" s="14" t="n"/>
      <c r="AE20" s="13" t="n"/>
      <c r="AF20" s="15">
        <f>IF((1-K20-가정!$C$16-가정!$C$17-가정!$C$27-1/11)&lt;=0,"",IFERROR((I20+L20+M20)/(1-K20-가정!$C$16-가정!$C$17-가정!$C$27-1/11),""))</f>
        <v/>
      </c>
      <c r="AG20" s="15">
        <f>IF(OR(AA20="",AF20=""),"",AA20-AF20)</f>
        <v/>
      </c>
      <c r="AH20" s="16">
        <f>IF(G20="","",IFERROR((IF(AE20="",0,가정!$C$31*MIN(1,LOG(AE20+1)/LOG(가정!$C$30)))+IF(AB20="",0,가정!$C$32*(MAX(0,1-AB20/가정!$C$29)*0.6+AC20*0.4))+IF(AD20="",0,가정!$C$33*MAX(0,1-AD20))+IF(V20="",0,가정!$C$34*MIN(1,MAX(0,(V20-가정!$C$27)/(가정!$C$28-가정!$C$27)))))/(IF(AE20="",0,가정!$C$31)+IF(AB20="",0,가정!$C$32)+IF(AD20="",0,가정!$C$33)+IF(V20="",0,가정!$C$34))*100,""))</f>
        <v/>
      </c>
      <c r="AI20" s="17">
        <f>IF(AH20="","",IF(U20&lt;=0,"역마진",IF(AH20&gt;=가정!$C$35,"GO",IF(AH20&gt;=가정!$C$36,"검토","SKIP"))))</f>
        <v/>
      </c>
    </row>
    <row r="21">
      <c r="B21" s="6" t="n">
        <v>14</v>
      </c>
      <c r="C21" s="7" t="n"/>
      <c r="E21" s="7" t="n"/>
      <c r="F21" s="7" t="n"/>
      <c r="G21" s="8" t="n"/>
      <c r="H21" s="8" t="n">
        <v>0</v>
      </c>
      <c r="I21" s="9">
        <f>J21*가정!$C$10</f>
        <v/>
      </c>
      <c r="J21" s="10" t="n"/>
      <c r="K21" s="11">
        <f>가정!$C$14</f>
        <v/>
      </c>
      <c r="L21" s="8" t="n"/>
      <c r="M21" s="8" t="n"/>
      <c r="N21" s="9">
        <f>IF(가정!$C$25="Y",가정!$C$24,G21*가정!$C$16)</f>
        <v/>
      </c>
      <c r="P21" s="9">
        <f>(G21*K21)+(H21*가정!$C$15)</f>
        <v/>
      </c>
      <c r="Q21" s="9">
        <f>IF(가정!$C$5="간이과세",(G21+H21)*0.015,(G21+H21)/11-((L21+M21+N21+P21)/11)-IF(가정!$C$11="정식통관",I21*가정!$C$12,0))</f>
        <v/>
      </c>
      <c r="R21" s="9">
        <f>G21+H21-I21-L21-M21-N21-P21-Q21</f>
        <v/>
      </c>
      <c r="S21" s="9">
        <f>MAX(0,R21)*가정!$C$7</f>
        <v/>
      </c>
      <c r="T21" s="9">
        <f>G21*가정!$C$17</f>
        <v/>
      </c>
      <c r="U21" s="9">
        <f>R21-S21-T21</f>
        <v/>
      </c>
      <c r="V21" s="12">
        <f>IF(G21=0,"",U21/G21)</f>
        <v/>
      </c>
      <c r="X21" s="7" t="n"/>
      <c r="Y21" s="7" t="n"/>
      <c r="Z21" s="7" t="n"/>
      <c r="AA21" s="13" t="n"/>
      <c r="AB21" s="13" t="n"/>
      <c r="AC21" s="14" t="n"/>
      <c r="AD21" s="14" t="n"/>
      <c r="AE21" s="13" t="n"/>
      <c r="AF21" s="15">
        <f>IF((1-K21-가정!$C$16-가정!$C$17-가정!$C$27-1/11)&lt;=0,"",IFERROR((I21+L21+M21)/(1-K21-가정!$C$16-가정!$C$17-가정!$C$27-1/11),""))</f>
        <v/>
      </c>
      <c r="AG21" s="15">
        <f>IF(OR(AA21="",AF21=""),"",AA21-AF21)</f>
        <v/>
      </c>
      <c r="AH21" s="16">
        <f>IF(G21="","",IFERROR((IF(AE21="",0,가정!$C$31*MIN(1,LOG(AE21+1)/LOG(가정!$C$30)))+IF(AB21="",0,가정!$C$32*(MAX(0,1-AB21/가정!$C$29)*0.6+AC21*0.4))+IF(AD21="",0,가정!$C$33*MAX(0,1-AD21))+IF(V21="",0,가정!$C$34*MIN(1,MAX(0,(V21-가정!$C$27)/(가정!$C$28-가정!$C$27)))))/(IF(AE21="",0,가정!$C$31)+IF(AB21="",0,가정!$C$32)+IF(AD21="",0,가정!$C$33)+IF(V21="",0,가정!$C$34))*100,""))</f>
        <v/>
      </c>
      <c r="AI21" s="17">
        <f>IF(AH21="","",IF(U21&lt;=0,"역마진",IF(AH21&gt;=가정!$C$35,"GO",IF(AH21&gt;=가정!$C$36,"검토","SKIP"))))</f>
        <v/>
      </c>
    </row>
    <row r="22">
      <c r="B22" s="6" t="n">
        <v>15</v>
      </c>
      <c r="C22" s="7" t="n"/>
      <c r="E22" s="7" t="n"/>
      <c r="F22" s="7" t="n"/>
      <c r="G22" s="8" t="n"/>
      <c r="H22" s="8" t="n">
        <v>0</v>
      </c>
      <c r="I22" s="9">
        <f>J22*가정!$C$10</f>
        <v/>
      </c>
      <c r="J22" s="10" t="n"/>
      <c r="K22" s="11">
        <f>가정!$C$14</f>
        <v/>
      </c>
      <c r="L22" s="8" t="n"/>
      <c r="M22" s="8" t="n"/>
      <c r="N22" s="9">
        <f>IF(가정!$C$25="Y",가정!$C$24,G22*가정!$C$16)</f>
        <v/>
      </c>
      <c r="P22" s="9">
        <f>(G22*K22)+(H22*가정!$C$15)</f>
        <v/>
      </c>
      <c r="Q22" s="9">
        <f>IF(가정!$C$5="간이과세",(G22+H22)*0.015,(G22+H22)/11-((L22+M22+N22+P22)/11)-IF(가정!$C$11="정식통관",I22*가정!$C$12,0))</f>
        <v/>
      </c>
      <c r="R22" s="9">
        <f>G22+H22-I22-L22-M22-N22-P22-Q22</f>
        <v/>
      </c>
      <c r="S22" s="9">
        <f>MAX(0,R22)*가정!$C$7</f>
        <v/>
      </c>
      <c r="T22" s="9">
        <f>G22*가정!$C$17</f>
        <v/>
      </c>
      <c r="U22" s="9">
        <f>R22-S22-T22</f>
        <v/>
      </c>
      <c r="V22" s="12">
        <f>IF(G22=0,"",U22/G22)</f>
        <v/>
      </c>
      <c r="X22" s="7" t="n"/>
      <c r="Y22" s="7" t="n"/>
      <c r="Z22" s="7" t="n"/>
      <c r="AA22" s="13" t="n"/>
      <c r="AB22" s="13" t="n"/>
      <c r="AC22" s="14" t="n"/>
      <c r="AD22" s="14" t="n"/>
      <c r="AE22" s="13" t="n"/>
      <c r="AF22" s="15">
        <f>IF((1-K22-가정!$C$16-가정!$C$17-가정!$C$27-1/11)&lt;=0,"",IFERROR((I22+L22+M22)/(1-K22-가정!$C$16-가정!$C$17-가정!$C$27-1/11),""))</f>
        <v/>
      </c>
      <c r="AG22" s="15">
        <f>IF(OR(AA22="",AF22=""),"",AA22-AF22)</f>
        <v/>
      </c>
      <c r="AH22" s="16">
        <f>IF(G22="","",IFERROR((IF(AE22="",0,가정!$C$31*MIN(1,LOG(AE22+1)/LOG(가정!$C$30)))+IF(AB22="",0,가정!$C$32*(MAX(0,1-AB22/가정!$C$29)*0.6+AC22*0.4))+IF(AD22="",0,가정!$C$33*MAX(0,1-AD22))+IF(V22="",0,가정!$C$34*MIN(1,MAX(0,(V22-가정!$C$27)/(가정!$C$28-가정!$C$27)))))/(IF(AE22="",0,가정!$C$31)+IF(AB22="",0,가정!$C$32)+IF(AD22="",0,가정!$C$33)+IF(V22="",0,가정!$C$34))*100,""))</f>
        <v/>
      </c>
      <c r="AI22" s="17">
        <f>IF(AH22="","",IF(U22&lt;=0,"역마진",IF(AH22&gt;=가정!$C$35,"GO",IF(AH22&gt;=가정!$C$36,"검토","SKIP"))))</f>
        <v/>
      </c>
    </row>
    <row r="23">
      <c r="B23" s="6" t="n">
        <v>16</v>
      </c>
      <c r="C23" s="7" t="n"/>
      <c r="E23" s="7" t="n"/>
      <c r="F23" s="7" t="n"/>
      <c r="G23" s="8" t="n"/>
      <c r="H23" s="8" t="n">
        <v>0</v>
      </c>
      <c r="I23" s="9">
        <f>J23*가정!$C$10</f>
        <v/>
      </c>
      <c r="J23" s="10" t="n"/>
      <c r="K23" s="11">
        <f>가정!$C$14</f>
        <v/>
      </c>
      <c r="L23" s="8" t="n"/>
      <c r="M23" s="8" t="n"/>
      <c r="N23" s="9">
        <f>IF(가정!$C$25="Y",가정!$C$24,G23*가정!$C$16)</f>
        <v/>
      </c>
      <c r="P23" s="9">
        <f>(G23*K23)+(H23*가정!$C$15)</f>
        <v/>
      </c>
      <c r="Q23" s="9">
        <f>IF(가정!$C$5="간이과세",(G23+H23)*0.015,(G23+H23)/11-((L23+M23+N23+P23)/11)-IF(가정!$C$11="정식통관",I23*가정!$C$12,0))</f>
        <v/>
      </c>
      <c r="R23" s="9">
        <f>G23+H23-I23-L23-M23-N23-P23-Q23</f>
        <v/>
      </c>
      <c r="S23" s="9">
        <f>MAX(0,R23)*가정!$C$7</f>
        <v/>
      </c>
      <c r="T23" s="9">
        <f>G23*가정!$C$17</f>
        <v/>
      </c>
      <c r="U23" s="9">
        <f>R23-S23-T23</f>
        <v/>
      </c>
      <c r="V23" s="12">
        <f>IF(G23=0,"",U23/G23)</f>
        <v/>
      </c>
      <c r="X23" s="7" t="n"/>
      <c r="Y23" s="7" t="n"/>
      <c r="Z23" s="7" t="n"/>
      <c r="AA23" s="13" t="n"/>
      <c r="AB23" s="13" t="n"/>
      <c r="AC23" s="14" t="n"/>
      <c r="AD23" s="14" t="n"/>
      <c r="AE23" s="13" t="n"/>
      <c r="AF23" s="15">
        <f>IF((1-K23-가정!$C$16-가정!$C$17-가정!$C$27-1/11)&lt;=0,"",IFERROR((I23+L23+M23)/(1-K23-가정!$C$16-가정!$C$17-가정!$C$27-1/11),""))</f>
        <v/>
      </c>
      <c r="AG23" s="15">
        <f>IF(OR(AA23="",AF23=""),"",AA23-AF23)</f>
        <v/>
      </c>
      <c r="AH23" s="16">
        <f>IF(G23="","",IFERROR((IF(AE23="",0,가정!$C$31*MIN(1,LOG(AE23+1)/LOG(가정!$C$30)))+IF(AB23="",0,가정!$C$32*(MAX(0,1-AB23/가정!$C$29)*0.6+AC23*0.4))+IF(AD23="",0,가정!$C$33*MAX(0,1-AD23))+IF(V23="",0,가정!$C$34*MIN(1,MAX(0,(V23-가정!$C$27)/(가정!$C$28-가정!$C$27)))))/(IF(AE23="",0,가정!$C$31)+IF(AB23="",0,가정!$C$32)+IF(AD23="",0,가정!$C$33)+IF(V23="",0,가정!$C$34))*100,""))</f>
        <v/>
      </c>
      <c r="AI23" s="17">
        <f>IF(AH23="","",IF(U23&lt;=0,"역마진",IF(AH23&gt;=가정!$C$35,"GO",IF(AH23&gt;=가정!$C$36,"검토","SKIP"))))</f>
        <v/>
      </c>
    </row>
    <row r="24">
      <c r="B24" s="6" t="n">
        <v>17</v>
      </c>
      <c r="C24" s="7" t="n"/>
      <c r="E24" s="7" t="n"/>
      <c r="F24" s="7" t="n"/>
      <c r="G24" s="8" t="n"/>
      <c r="H24" s="8" t="n">
        <v>0</v>
      </c>
      <c r="I24" s="9">
        <f>J24*가정!$C$10</f>
        <v/>
      </c>
      <c r="J24" s="10" t="n"/>
      <c r="K24" s="11">
        <f>가정!$C$14</f>
        <v/>
      </c>
      <c r="L24" s="8" t="n"/>
      <c r="M24" s="8" t="n"/>
      <c r="N24" s="9">
        <f>IF(가정!$C$25="Y",가정!$C$24,G24*가정!$C$16)</f>
        <v/>
      </c>
      <c r="P24" s="9">
        <f>(G24*K24)+(H24*가정!$C$15)</f>
        <v/>
      </c>
      <c r="Q24" s="9">
        <f>IF(가정!$C$5="간이과세",(G24+H24)*0.015,(G24+H24)/11-((L24+M24+N24+P24)/11)-IF(가정!$C$11="정식통관",I24*가정!$C$12,0))</f>
        <v/>
      </c>
      <c r="R24" s="9">
        <f>G24+H24-I24-L24-M24-N24-P24-Q24</f>
        <v/>
      </c>
      <c r="S24" s="9">
        <f>MAX(0,R24)*가정!$C$7</f>
        <v/>
      </c>
      <c r="T24" s="9">
        <f>G24*가정!$C$17</f>
        <v/>
      </c>
      <c r="U24" s="9">
        <f>R24-S24-T24</f>
        <v/>
      </c>
      <c r="V24" s="12">
        <f>IF(G24=0,"",U24/G24)</f>
        <v/>
      </c>
      <c r="X24" s="7" t="n"/>
      <c r="Y24" s="7" t="n"/>
      <c r="Z24" s="7" t="n"/>
      <c r="AA24" s="13" t="n"/>
      <c r="AB24" s="13" t="n"/>
      <c r="AC24" s="14" t="n"/>
      <c r="AD24" s="14" t="n"/>
      <c r="AE24" s="13" t="n"/>
      <c r="AF24" s="15">
        <f>IF((1-K24-가정!$C$16-가정!$C$17-가정!$C$27-1/11)&lt;=0,"",IFERROR((I24+L24+M24)/(1-K24-가정!$C$16-가정!$C$17-가정!$C$27-1/11),""))</f>
        <v/>
      </c>
      <c r="AG24" s="15">
        <f>IF(OR(AA24="",AF24=""),"",AA24-AF24)</f>
        <v/>
      </c>
      <c r="AH24" s="16">
        <f>IF(G24="","",IFERROR((IF(AE24="",0,가정!$C$31*MIN(1,LOG(AE24+1)/LOG(가정!$C$30)))+IF(AB24="",0,가정!$C$32*(MAX(0,1-AB24/가정!$C$29)*0.6+AC24*0.4))+IF(AD24="",0,가정!$C$33*MAX(0,1-AD24))+IF(V24="",0,가정!$C$34*MIN(1,MAX(0,(V24-가정!$C$27)/(가정!$C$28-가정!$C$27)))))/(IF(AE24="",0,가정!$C$31)+IF(AB24="",0,가정!$C$32)+IF(AD24="",0,가정!$C$33)+IF(V24="",0,가정!$C$34))*100,""))</f>
        <v/>
      </c>
      <c r="AI24" s="17">
        <f>IF(AH24="","",IF(U24&lt;=0,"역마진",IF(AH24&gt;=가정!$C$35,"GO",IF(AH24&gt;=가정!$C$36,"검토","SKIP"))))</f>
        <v/>
      </c>
    </row>
    <row r="25">
      <c r="B25" s="6" t="n">
        <v>18</v>
      </c>
      <c r="C25" s="7" t="n"/>
      <c r="E25" s="7" t="n"/>
      <c r="F25" s="7" t="n"/>
      <c r="G25" s="8" t="n"/>
      <c r="H25" s="8" t="n">
        <v>0</v>
      </c>
      <c r="I25" s="9">
        <f>J25*가정!$C$10</f>
        <v/>
      </c>
      <c r="J25" s="10" t="n"/>
      <c r="K25" s="11">
        <f>가정!$C$14</f>
        <v/>
      </c>
      <c r="L25" s="8" t="n"/>
      <c r="M25" s="8" t="n"/>
      <c r="N25" s="9">
        <f>IF(가정!$C$25="Y",가정!$C$24,G25*가정!$C$16)</f>
        <v/>
      </c>
      <c r="P25" s="9">
        <f>(G25*K25)+(H25*가정!$C$15)</f>
        <v/>
      </c>
      <c r="Q25" s="9">
        <f>IF(가정!$C$5="간이과세",(G25+H25)*0.015,(G25+H25)/11-((L25+M25+N25+P25)/11)-IF(가정!$C$11="정식통관",I25*가정!$C$12,0))</f>
        <v/>
      </c>
      <c r="R25" s="9">
        <f>G25+H25-I25-L25-M25-N25-P25-Q25</f>
        <v/>
      </c>
      <c r="S25" s="9">
        <f>MAX(0,R25)*가정!$C$7</f>
        <v/>
      </c>
      <c r="T25" s="9">
        <f>G25*가정!$C$17</f>
        <v/>
      </c>
      <c r="U25" s="9">
        <f>R25-S25-T25</f>
        <v/>
      </c>
      <c r="V25" s="12">
        <f>IF(G25=0,"",U25/G25)</f>
        <v/>
      </c>
      <c r="X25" s="7" t="n"/>
      <c r="Y25" s="7" t="n"/>
      <c r="Z25" s="7" t="n"/>
      <c r="AA25" s="13" t="n"/>
      <c r="AB25" s="13" t="n"/>
      <c r="AC25" s="14" t="n"/>
      <c r="AD25" s="14" t="n"/>
      <c r="AE25" s="13" t="n"/>
      <c r="AF25" s="15">
        <f>IF((1-K25-가정!$C$16-가정!$C$17-가정!$C$27-1/11)&lt;=0,"",IFERROR((I25+L25+M25)/(1-K25-가정!$C$16-가정!$C$17-가정!$C$27-1/11),""))</f>
        <v/>
      </c>
      <c r="AG25" s="15">
        <f>IF(OR(AA25="",AF25=""),"",AA25-AF25)</f>
        <v/>
      </c>
      <c r="AH25" s="16">
        <f>IF(G25="","",IFERROR((IF(AE25="",0,가정!$C$31*MIN(1,LOG(AE25+1)/LOG(가정!$C$30)))+IF(AB25="",0,가정!$C$32*(MAX(0,1-AB25/가정!$C$29)*0.6+AC25*0.4))+IF(AD25="",0,가정!$C$33*MAX(0,1-AD25))+IF(V25="",0,가정!$C$34*MIN(1,MAX(0,(V25-가정!$C$27)/(가정!$C$28-가정!$C$27)))))/(IF(AE25="",0,가정!$C$31)+IF(AB25="",0,가정!$C$32)+IF(AD25="",0,가정!$C$33)+IF(V25="",0,가정!$C$34))*100,""))</f>
        <v/>
      </c>
      <c r="AI25" s="17">
        <f>IF(AH25="","",IF(U25&lt;=0,"역마진",IF(AH25&gt;=가정!$C$35,"GO",IF(AH25&gt;=가정!$C$36,"검토","SKIP"))))</f>
        <v/>
      </c>
    </row>
    <row r="26">
      <c r="B26" s="6" t="n">
        <v>19</v>
      </c>
      <c r="C26" s="7" t="n"/>
      <c r="E26" s="7" t="n"/>
      <c r="F26" s="7" t="n"/>
      <c r="G26" s="8" t="n"/>
      <c r="H26" s="8" t="n">
        <v>0</v>
      </c>
      <c r="I26" s="9">
        <f>J26*가정!$C$10</f>
        <v/>
      </c>
      <c r="J26" s="10" t="n"/>
      <c r="K26" s="11">
        <f>가정!$C$14</f>
        <v/>
      </c>
      <c r="L26" s="8" t="n"/>
      <c r="M26" s="8" t="n"/>
      <c r="N26" s="9">
        <f>IF(가정!$C$25="Y",가정!$C$24,G26*가정!$C$16)</f>
        <v/>
      </c>
      <c r="P26" s="9">
        <f>(G26*K26)+(H26*가정!$C$15)</f>
        <v/>
      </c>
      <c r="Q26" s="9">
        <f>IF(가정!$C$5="간이과세",(G26+H26)*0.015,(G26+H26)/11-((L26+M26+N26+P26)/11)-IF(가정!$C$11="정식통관",I26*가정!$C$12,0))</f>
        <v/>
      </c>
      <c r="R26" s="9">
        <f>G26+H26-I26-L26-M26-N26-P26-Q26</f>
        <v/>
      </c>
      <c r="S26" s="9">
        <f>MAX(0,R26)*가정!$C$7</f>
        <v/>
      </c>
      <c r="T26" s="9">
        <f>G26*가정!$C$17</f>
        <v/>
      </c>
      <c r="U26" s="9">
        <f>R26-S26-T26</f>
        <v/>
      </c>
      <c r="V26" s="12">
        <f>IF(G26=0,"",U26/G26)</f>
        <v/>
      </c>
      <c r="X26" s="7" t="n"/>
      <c r="Y26" s="7" t="n"/>
      <c r="Z26" s="7" t="n"/>
      <c r="AA26" s="13" t="n"/>
      <c r="AB26" s="13" t="n"/>
      <c r="AC26" s="14" t="n"/>
      <c r="AD26" s="14" t="n"/>
      <c r="AE26" s="13" t="n"/>
      <c r="AF26" s="15">
        <f>IF((1-K26-가정!$C$16-가정!$C$17-가정!$C$27-1/11)&lt;=0,"",IFERROR((I26+L26+M26)/(1-K26-가정!$C$16-가정!$C$17-가정!$C$27-1/11),""))</f>
        <v/>
      </c>
      <c r="AG26" s="15">
        <f>IF(OR(AA26="",AF26=""),"",AA26-AF26)</f>
        <v/>
      </c>
      <c r="AH26" s="16">
        <f>IF(G26="","",IFERROR((IF(AE26="",0,가정!$C$31*MIN(1,LOG(AE26+1)/LOG(가정!$C$30)))+IF(AB26="",0,가정!$C$32*(MAX(0,1-AB26/가정!$C$29)*0.6+AC26*0.4))+IF(AD26="",0,가정!$C$33*MAX(0,1-AD26))+IF(V26="",0,가정!$C$34*MIN(1,MAX(0,(V26-가정!$C$27)/(가정!$C$28-가정!$C$27)))))/(IF(AE26="",0,가정!$C$31)+IF(AB26="",0,가정!$C$32)+IF(AD26="",0,가정!$C$33)+IF(V26="",0,가정!$C$34))*100,""))</f>
        <v/>
      </c>
      <c r="AI26" s="17">
        <f>IF(AH26="","",IF(U26&lt;=0,"역마진",IF(AH26&gt;=가정!$C$35,"GO",IF(AH26&gt;=가정!$C$36,"검토","SKIP"))))</f>
        <v/>
      </c>
    </row>
    <row r="27">
      <c r="B27" s="6" t="n">
        <v>20</v>
      </c>
      <c r="C27" s="7" t="n"/>
      <c r="E27" s="7" t="n"/>
      <c r="F27" s="7" t="n"/>
      <c r="G27" s="8" t="n"/>
      <c r="H27" s="8" t="n">
        <v>0</v>
      </c>
      <c r="I27" s="9">
        <f>J27*가정!$C$10</f>
        <v/>
      </c>
      <c r="J27" s="10" t="n"/>
      <c r="K27" s="11">
        <f>가정!$C$14</f>
        <v/>
      </c>
      <c r="L27" s="8" t="n"/>
      <c r="M27" s="8" t="n"/>
      <c r="N27" s="9">
        <f>IF(가정!$C$25="Y",가정!$C$24,G27*가정!$C$16)</f>
        <v/>
      </c>
      <c r="P27" s="9">
        <f>(G27*K27)+(H27*가정!$C$15)</f>
        <v/>
      </c>
      <c r="Q27" s="9">
        <f>IF(가정!$C$5="간이과세",(G27+H27)*0.015,(G27+H27)/11-((L27+M27+N27+P27)/11)-IF(가정!$C$11="정식통관",I27*가정!$C$12,0))</f>
        <v/>
      </c>
      <c r="R27" s="9">
        <f>G27+H27-I27-L27-M27-N27-P27-Q27</f>
        <v/>
      </c>
      <c r="S27" s="9">
        <f>MAX(0,R27)*가정!$C$7</f>
        <v/>
      </c>
      <c r="T27" s="9">
        <f>G27*가정!$C$17</f>
        <v/>
      </c>
      <c r="U27" s="9">
        <f>R27-S27-T27</f>
        <v/>
      </c>
      <c r="V27" s="12">
        <f>IF(G27=0,"",U27/G27)</f>
        <v/>
      </c>
      <c r="X27" s="7" t="n"/>
      <c r="Y27" s="7" t="n"/>
      <c r="Z27" s="7" t="n"/>
      <c r="AA27" s="13" t="n"/>
      <c r="AB27" s="13" t="n"/>
      <c r="AC27" s="14" t="n"/>
      <c r="AD27" s="14" t="n"/>
      <c r="AE27" s="13" t="n"/>
      <c r="AF27" s="15">
        <f>IF((1-K27-가정!$C$16-가정!$C$17-가정!$C$27-1/11)&lt;=0,"",IFERROR((I27+L27+M27)/(1-K27-가정!$C$16-가정!$C$17-가정!$C$27-1/11),""))</f>
        <v/>
      </c>
      <c r="AG27" s="15">
        <f>IF(OR(AA27="",AF27=""),"",AA27-AF27)</f>
        <v/>
      </c>
      <c r="AH27" s="16">
        <f>IF(G27="","",IFERROR((IF(AE27="",0,가정!$C$31*MIN(1,LOG(AE27+1)/LOG(가정!$C$30)))+IF(AB27="",0,가정!$C$32*(MAX(0,1-AB27/가정!$C$29)*0.6+AC27*0.4))+IF(AD27="",0,가정!$C$33*MAX(0,1-AD27))+IF(V27="",0,가정!$C$34*MIN(1,MAX(0,(V27-가정!$C$27)/(가정!$C$28-가정!$C$27)))))/(IF(AE27="",0,가정!$C$31)+IF(AB27="",0,가정!$C$32)+IF(AD27="",0,가정!$C$33)+IF(V27="",0,가정!$C$34))*100,""))</f>
        <v/>
      </c>
      <c r="AI27" s="17">
        <f>IF(AH27="","",IF(U27&lt;=0,"역마진",IF(AH27&gt;=가정!$C$35,"GO",IF(AH27&gt;=가정!$C$36,"검토","SKIP"))))</f>
        <v/>
      </c>
    </row>
    <row r="28">
      <c r="B28" s="6" t="n">
        <v>21</v>
      </c>
      <c r="C28" s="7" t="n"/>
      <c r="E28" s="7" t="n"/>
      <c r="F28" s="7" t="n"/>
      <c r="G28" s="8" t="n"/>
      <c r="H28" s="8" t="n">
        <v>0</v>
      </c>
      <c r="I28" s="9">
        <f>J28*가정!$C$10</f>
        <v/>
      </c>
      <c r="J28" s="10" t="n"/>
      <c r="K28" s="11">
        <f>가정!$C$14</f>
        <v/>
      </c>
      <c r="L28" s="8" t="n"/>
      <c r="M28" s="8" t="n"/>
      <c r="N28" s="9">
        <f>IF(가정!$C$25="Y",가정!$C$24,G28*가정!$C$16)</f>
        <v/>
      </c>
      <c r="P28" s="9">
        <f>(G28*K28)+(H28*가정!$C$15)</f>
        <v/>
      </c>
      <c r="Q28" s="9">
        <f>IF(가정!$C$5="간이과세",(G28+H28)*0.015,(G28+H28)/11-((L28+M28+N28+P28)/11)-IF(가정!$C$11="정식통관",I28*가정!$C$12,0))</f>
        <v/>
      </c>
      <c r="R28" s="9">
        <f>G28+H28-I28-L28-M28-N28-P28-Q28</f>
        <v/>
      </c>
      <c r="S28" s="9">
        <f>MAX(0,R28)*가정!$C$7</f>
        <v/>
      </c>
      <c r="T28" s="9">
        <f>G28*가정!$C$17</f>
        <v/>
      </c>
      <c r="U28" s="9">
        <f>R28-S28-T28</f>
        <v/>
      </c>
      <c r="V28" s="12">
        <f>IF(G28=0,"",U28/G28)</f>
        <v/>
      </c>
      <c r="X28" s="7" t="n"/>
      <c r="Y28" s="7" t="n"/>
      <c r="Z28" s="7" t="n"/>
      <c r="AA28" s="13" t="n"/>
      <c r="AB28" s="13" t="n"/>
      <c r="AC28" s="14" t="n"/>
      <c r="AD28" s="14" t="n"/>
      <c r="AE28" s="13" t="n"/>
      <c r="AF28" s="15">
        <f>IF((1-K28-가정!$C$16-가정!$C$17-가정!$C$27-1/11)&lt;=0,"",IFERROR((I28+L28+M28)/(1-K28-가정!$C$16-가정!$C$17-가정!$C$27-1/11),""))</f>
        <v/>
      </c>
      <c r="AG28" s="15">
        <f>IF(OR(AA28="",AF28=""),"",AA28-AF28)</f>
        <v/>
      </c>
      <c r="AH28" s="16">
        <f>IF(G28="","",IFERROR((IF(AE28="",0,가정!$C$31*MIN(1,LOG(AE28+1)/LOG(가정!$C$30)))+IF(AB28="",0,가정!$C$32*(MAX(0,1-AB28/가정!$C$29)*0.6+AC28*0.4))+IF(AD28="",0,가정!$C$33*MAX(0,1-AD28))+IF(V28="",0,가정!$C$34*MIN(1,MAX(0,(V28-가정!$C$27)/(가정!$C$28-가정!$C$27)))))/(IF(AE28="",0,가정!$C$31)+IF(AB28="",0,가정!$C$32)+IF(AD28="",0,가정!$C$33)+IF(V28="",0,가정!$C$34))*100,""))</f>
        <v/>
      </c>
      <c r="AI28" s="17">
        <f>IF(AH28="","",IF(U28&lt;=0,"역마진",IF(AH28&gt;=가정!$C$35,"GO",IF(AH28&gt;=가정!$C$36,"검토","SKIP"))))</f>
        <v/>
      </c>
    </row>
    <row r="29">
      <c r="B29" s="6" t="n">
        <v>22</v>
      </c>
      <c r="C29" s="7" t="n"/>
      <c r="E29" s="7" t="n"/>
      <c r="F29" s="7" t="n"/>
      <c r="G29" s="8" t="n"/>
      <c r="H29" s="8" t="n">
        <v>0</v>
      </c>
      <c r="I29" s="9">
        <f>J29*가정!$C$10</f>
        <v/>
      </c>
      <c r="J29" s="10" t="n"/>
      <c r="K29" s="11">
        <f>가정!$C$14</f>
        <v/>
      </c>
      <c r="L29" s="8" t="n"/>
      <c r="M29" s="8" t="n"/>
      <c r="N29" s="9">
        <f>IF(가정!$C$25="Y",가정!$C$24,G29*가정!$C$16)</f>
        <v/>
      </c>
      <c r="P29" s="9">
        <f>(G29*K29)+(H29*가정!$C$15)</f>
        <v/>
      </c>
      <c r="Q29" s="9">
        <f>IF(가정!$C$5="간이과세",(G29+H29)*0.015,(G29+H29)/11-((L29+M29+N29+P29)/11)-IF(가정!$C$11="정식통관",I29*가정!$C$12,0))</f>
        <v/>
      </c>
      <c r="R29" s="9">
        <f>G29+H29-I29-L29-M29-N29-P29-Q29</f>
        <v/>
      </c>
      <c r="S29" s="9">
        <f>MAX(0,R29)*가정!$C$7</f>
        <v/>
      </c>
      <c r="T29" s="9">
        <f>G29*가정!$C$17</f>
        <v/>
      </c>
      <c r="U29" s="9">
        <f>R29-S29-T29</f>
        <v/>
      </c>
      <c r="V29" s="12">
        <f>IF(G29=0,"",U29/G29)</f>
        <v/>
      </c>
      <c r="X29" s="7" t="n"/>
      <c r="Y29" s="7" t="n"/>
      <c r="Z29" s="7" t="n"/>
      <c r="AA29" s="13" t="n"/>
      <c r="AB29" s="13" t="n"/>
      <c r="AC29" s="14" t="n"/>
      <c r="AD29" s="14" t="n"/>
      <c r="AE29" s="13" t="n"/>
      <c r="AF29" s="15">
        <f>IF((1-K29-가정!$C$16-가정!$C$17-가정!$C$27-1/11)&lt;=0,"",IFERROR((I29+L29+M29)/(1-K29-가정!$C$16-가정!$C$17-가정!$C$27-1/11),""))</f>
        <v/>
      </c>
      <c r="AG29" s="15">
        <f>IF(OR(AA29="",AF29=""),"",AA29-AF29)</f>
        <v/>
      </c>
      <c r="AH29" s="16">
        <f>IF(G29="","",IFERROR((IF(AE29="",0,가정!$C$31*MIN(1,LOG(AE29+1)/LOG(가정!$C$30)))+IF(AB29="",0,가정!$C$32*(MAX(0,1-AB29/가정!$C$29)*0.6+AC29*0.4))+IF(AD29="",0,가정!$C$33*MAX(0,1-AD29))+IF(V29="",0,가정!$C$34*MIN(1,MAX(0,(V29-가정!$C$27)/(가정!$C$28-가정!$C$27)))))/(IF(AE29="",0,가정!$C$31)+IF(AB29="",0,가정!$C$32)+IF(AD29="",0,가정!$C$33)+IF(V29="",0,가정!$C$34))*100,""))</f>
        <v/>
      </c>
      <c r="AI29" s="17">
        <f>IF(AH29="","",IF(U29&lt;=0,"역마진",IF(AH29&gt;=가정!$C$35,"GO",IF(AH29&gt;=가정!$C$36,"검토","SKIP"))))</f>
        <v/>
      </c>
    </row>
    <row r="30">
      <c r="B30" s="6" t="n">
        <v>23</v>
      </c>
      <c r="C30" s="7" t="n"/>
      <c r="E30" s="7" t="n"/>
      <c r="F30" s="7" t="n"/>
      <c r="G30" s="8" t="n"/>
      <c r="H30" s="8" t="n">
        <v>0</v>
      </c>
      <c r="I30" s="9">
        <f>J30*가정!$C$10</f>
        <v/>
      </c>
      <c r="J30" s="10" t="n"/>
      <c r="K30" s="11">
        <f>가정!$C$14</f>
        <v/>
      </c>
      <c r="L30" s="8" t="n"/>
      <c r="M30" s="8" t="n"/>
      <c r="N30" s="9">
        <f>IF(가정!$C$25="Y",가정!$C$24,G30*가정!$C$16)</f>
        <v/>
      </c>
      <c r="P30" s="9">
        <f>(G30*K30)+(H30*가정!$C$15)</f>
        <v/>
      </c>
      <c r="Q30" s="9">
        <f>IF(가정!$C$5="간이과세",(G30+H30)*0.015,(G30+H30)/11-((L30+M30+N30+P30)/11)-IF(가정!$C$11="정식통관",I30*가정!$C$12,0))</f>
        <v/>
      </c>
      <c r="R30" s="9">
        <f>G30+H30-I30-L30-M30-N30-P30-Q30</f>
        <v/>
      </c>
      <c r="S30" s="9">
        <f>MAX(0,R30)*가정!$C$7</f>
        <v/>
      </c>
      <c r="T30" s="9">
        <f>G30*가정!$C$17</f>
        <v/>
      </c>
      <c r="U30" s="9">
        <f>R30-S30-T30</f>
        <v/>
      </c>
      <c r="V30" s="12">
        <f>IF(G30=0,"",U30/G30)</f>
        <v/>
      </c>
      <c r="X30" s="7" t="n"/>
      <c r="Y30" s="7" t="n"/>
      <c r="Z30" s="7" t="n"/>
      <c r="AA30" s="13" t="n"/>
      <c r="AB30" s="13" t="n"/>
      <c r="AC30" s="14" t="n"/>
      <c r="AD30" s="14" t="n"/>
      <c r="AE30" s="13" t="n"/>
      <c r="AF30" s="15">
        <f>IF((1-K30-가정!$C$16-가정!$C$17-가정!$C$27-1/11)&lt;=0,"",IFERROR((I30+L30+M30)/(1-K30-가정!$C$16-가정!$C$17-가정!$C$27-1/11),""))</f>
        <v/>
      </c>
      <c r="AG30" s="15">
        <f>IF(OR(AA30="",AF30=""),"",AA30-AF30)</f>
        <v/>
      </c>
      <c r="AH30" s="16">
        <f>IF(G30="","",IFERROR((IF(AE30="",0,가정!$C$31*MIN(1,LOG(AE30+1)/LOG(가정!$C$30)))+IF(AB30="",0,가정!$C$32*(MAX(0,1-AB30/가정!$C$29)*0.6+AC30*0.4))+IF(AD30="",0,가정!$C$33*MAX(0,1-AD30))+IF(V30="",0,가정!$C$34*MIN(1,MAX(0,(V30-가정!$C$27)/(가정!$C$28-가정!$C$27)))))/(IF(AE30="",0,가정!$C$31)+IF(AB30="",0,가정!$C$32)+IF(AD30="",0,가정!$C$33)+IF(V30="",0,가정!$C$34))*100,""))</f>
        <v/>
      </c>
      <c r="AI30" s="17">
        <f>IF(AH30="","",IF(U30&lt;=0,"역마진",IF(AH30&gt;=가정!$C$35,"GO",IF(AH30&gt;=가정!$C$36,"검토","SKIP"))))</f>
        <v/>
      </c>
    </row>
    <row r="31">
      <c r="B31" s="6" t="n">
        <v>24</v>
      </c>
      <c r="C31" s="7" t="n"/>
      <c r="E31" s="7" t="n"/>
      <c r="F31" s="7" t="n"/>
      <c r="G31" s="8" t="n"/>
      <c r="H31" s="8" t="n">
        <v>0</v>
      </c>
      <c r="I31" s="9">
        <f>J31*가정!$C$10</f>
        <v/>
      </c>
      <c r="J31" s="10" t="n"/>
      <c r="K31" s="11">
        <f>가정!$C$14</f>
        <v/>
      </c>
      <c r="L31" s="8" t="n"/>
      <c r="M31" s="8" t="n"/>
      <c r="N31" s="9">
        <f>IF(가정!$C$25="Y",가정!$C$24,G31*가정!$C$16)</f>
        <v/>
      </c>
      <c r="P31" s="9">
        <f>(G31*K31)+(H31*가정!$C$15)</f>
        <v/>
      </c>
      <c r="Q31" s="9">
        <f>IF(가정!$C$5="간이과세",(G31+H31)*0.015,(G31+H31)/11-((L31+M31+N31+P31)/11)-IF(가정!$C$11="정식통관",I31*가정!$C$12,0))</f>
        <v/>
      </c>
      <c r="R31" s="9">
        <f>G31+H31-I31-L31-M31-N31-P31-Q31</f>
        <v/>
      </c>
      <c r="S31" s="9">
        <f>MAX(0,R31)*가정!$C$7</f>
        <v/>
      </c>
      <c r="T31" s="9">
        <f>G31*가정!$C$17</f>
        <v/>
      </c>
      <c r="U31" s="9">
        <f>R31-S31-T31</f>
        <v/>
      </c>
      <c r="V31" s="12">
        <f>IF(G31=0,"",U31/G31)</f>
        <v/>
      </c>
      <c r="X31" s="7" t="n"/>
      <c r="Y31" s="7" t="n"/>
      <c r="Z31" s="7" t="n"/>
      <c r="AA31" s="13" t="n"/>
      <c r="AB31" s="13" t="n"/>
      <c r="AC31" s="14" t="n"/>
      <c r="AD31" s="14" t="n"/>
      <c r="AE31" s="13" t="n"/>
      <c r="AF31" s="15">
        <f>IF((1-K31-가정!$C$16-가정!$C$17-가정!$C$27-1/11)&lt;=0,"",IFERROR((I31+L31+M31)/(1-K31-가정!$C$16-가정!$C$17-가정!$C$27-1/11),""))</f>
        <v/>
      </c>
      <c r="AG31" s="15">
        <f>IF(OR(AA31="",AF31=""),"",AA31-AF31)</f>
        <v/>
      </c>
      <c r="AH31" s="16">
        <f>IF(G31="","",IFERROR((IF(AE31="",0,가정!$C$31*MIN(1,LOG(AE31+1)/LOG(가정!$C$30)))+IF(AB31="",0,가정!$C$32*(MAX(0,1-AB31/가정!$C$29)*0.6+AC31*0.4))+IF(AD31="",0,가정!$C$33*MAX(0,1-AD31))+IF(V31="",0,가정!$C$34*MIN(1,MAX(0,(V31-가정!$C$27)/(가정!$C$28-가정!$C$27)))))/(IF(AE31="",0,가정!$C$31)+IF(AB31="",0,가정!$C$32)+IF(AD31="",0,가정!$C$33)+IF(V31="",0,가정!$C$34))*100,""))</f>
        <v/>
      </c>
      <c r="AI31" s="17">
        <f>IF(AH31="","",IF(U31&lt;=0,"역마진",IF(AH31&gt;=가정!$C$35,"GO",IF(AH31&gt;=가정!$C$36,"검토","SKIP"))))</f>
        <v/>
      </c>
    </row>
    <row r="32">
      <c r="B32" s="6" t="n">
        <v>25</v>
      </c>
      <c r="C32" s="7" t="n"/>
      <c r="E32" s="7" t="n"/>
      <c r="F32" s="7" t="n"/>
      <c r="G32" s="8" t="n"/>
      <c r="H32" s="8" t="n">
        <v>0</v>
      </c>
      <c r="I32" s="9">
        <f>J32*가정!$C$10</f>
        <v/>
      </c>
      <c r="J32" s="10" t="n"/>
      <c r="K32" s="11">
        <f>가정!$C$14</f>
        <v/>
      </c>
      <c r="L32" s="8" t="n"/>
      <c r="M32" s="8" t="n"/>
      <c r="N32" s="9">
        <f>IF(가정!$C$25="Y",가정!$C$24,G32*가정!$C$16)</f>
        <v/>
      </c>
      <c r="P32" s="9">
        <f>(G32*K32)+(H32*가정!$C$15)</f>
        <v/>
      </c>
      <c r="Q32" s="9">
        <f>IF(가정!$C$5="간이과세",(G32+H32)*0.015,(G32+H32)/11-((L32+M32+N32+P32)/11)-IF(가정!$C$11="정식통관",I32*가정!$C$12,0))</f>
        <v/>
      </c>
      <c r="R32" s="9">
        <f>G32+H32-I32-L32-M32-N32-P32-Q32</f>
        <v/>
      </c>
      <c r="S32" s="9">
        <f>MAX(0,R32)*가정!$C$7</f>
        <v/>
      </c>
      <c r="T32" s="9">
        <f>G32*가정!$C$17</f>
        <v/>
      </c>
      <c r="U32" s="9">
        <f>R32-S32-T32</f>
        <v/>
      </c>
      <c r="V32" s="12">
        <f>IF(G32=0,"",U32/G32)</f>
        <v/>
      </c>
      <c r="X32" s="7" t="n"/>
      <c r="Y32" s="7" t="n"/>
      <c r="Z32" s="7" t="n"/>
      <c r="AA32" s="13" t="n"/>
      <c r="AB32" s="13" t="n"/>
      <c r="AC32" s="14" t="n"/>
      <c r="AD32" s="14" t="n"/>
      <c r="AE32" s="13" t="n"/>
      <c r="AF32" s="15">
        <f>IF((1-K32-가정!$C$16-가정!$C$17-가정!$C$27-1/11)&lt;=0,"",IFERROR((I32+L32+M32)/(1-K32-가정!$C$16-가정!$C$17-가정!$C$27-1/11),""))</f>
        <v/>
      </c>
      <c r="AG32" s="15">
        <f>IF(OR(AA32="",AF32=""),"",AA32-AF32)</f>
        <v/>
      </c>
      <c r="AH32" s="16">
        <f>IF(G32="","",IFERROR((IF(AE32="",0,가정!$C$31*MIN(1,LOG(AE32+1)/LOG(가정!$C$30)))+IF(AB32="",0,가정!$C$32*(MAX(0,1-AB32/가정!$C$29)*0.6+AC32*0.4))+IF(AD32="",0,가정!$C$33*MAX(0,1-AD32))+IF(V32="",0,가정!$C$34*MIN(1,MAX(0,(V32-가정!$C$27)/(가정!$C$28-가정!$C$27)))))/(IF(AE32="",0,가정!$C$31)+IF(AB32="",0,가정!$C$32)+IF(AD32="",0,가정!$C$33)+IF(V32="",0,가정!$C$34))*100,""))</f>
        <v/>
      </c>
      <c r="AI32" s="17">
        <f>IF(AH32="","",IF(U32&lt;=0,"역마진",IF(AH32&gt;=가정!$C$35,"GO",IF(AH32&gt;=가정!$C$36,"검토","SKIP"))))</f>
        <v/>
      </c>
    </row>
    <row r="33">
      <c r="B33" s="6" t="n">
        <v>26</v>
      </c>
      <c r="C33" s="7" t="n"/>
      <c r="E33" s="7" t="n"/>
      <c r="F33" s="7" t="n"/>
      <c r="G33" s="8" t="n"/>
      <c r="H33" s="8" t="n">
        <v>0</v>
      </c>
      <c r="I33" s="9">
        <f>J33*가정!$C$10</f>
        <v/>
      </c>
      <c r="J33" s="10" t="n"/>
      <c r="K33" s="11">
        <f>가정!$C$14</f>
        <v/>
      </c>
      <c r="L33" s="8" t="n"/>
      <c r="M33" s="8" t="n"/>
      <c r="N33" s="9">
        <f>IF(가정!$C$25="Y",가정!$C$24,G33*가정!$C$16)</f>
        <v/>
      </c>
      <c r="P33" s="9">
        <f>(G33*K33)+(H33*가정!$C$15)</f>
        <v/>
      </c>
      <c r="Q33" s="9">
        <f>IF(가정!$C$5="간이과세",(G33+H33)*0.015,(G33+H33)/11-((L33+M33+N33+P33)/11)-IF(가정!$C$11="정식통관",I33*가정!$C$12,0))</f>
        <v/>
      </c>
      <c r="R33" s="9">
        <f>G33+H33-I33-L33-M33-N33-P33-Q33</f>
        <v/>
      </c>
      <c r="S33" s="9">
        <f>MAX(0,R33)*가정!$C$7</f>
        <v/>
      </c>
      <c r="T33" s="9">
        <f>G33*가정!$C$17</f>
        <v/>
      </c>
      <c r="U33" s="9">
        <f>R33-S33-T33</f>
        <v/>
      </c>
      <c r="V33" s="12">
        <f>IF(G33=0,"",U33/G33)</f>
        <v/>
      </c>
      <c r="X33" s="7" t="n"/>
      <c r="Y33" s="7" t="n"/>
      <c r="Z33" s="7" t="n"/>
      <c r="AA33" s="13" t="n"/>
      <c r="AB33" s="13" t="n"/>
      <c r="AC33" s="14" t="n"/>
      <c r="AD33" s="14" t="n"/>
      <c r="AE33" s="13" t="n"/>
      <c r="AF33" s="15">
        <f>IF((1-K33-가정!$C$16-가정!$C$17-가정!$C$27-1/11)&lt;=0,"",IFERROR((I33+L33+M33)/(1-K33-가정!$C$16-가정!$C$17-가정!$C$27-1/11),""))</f>
        <v/>
      </c>
      <c r="AG33" s="15">
        <f>IF(OR(AA33="",AF33=""),"",AA33-AF33)</f>
        <v/>
      </c>
      <c r="AH33" s="16">
        <f>IF(G33="","",IFERROR((IF(AE33="",0,가정!$C$31*MIN(1,LOG(AE33+1)/LOG(가정!$C$30)))+IF(AB33="",0,가정!$C$32*(MAX(0,1-AB33/가정!$C$29)*0.6+AC33*0.4))+IF(AD33="",0,가정!$C$33*MAX(0,1-AD33))+IF(V33="",0,가정!$C$34*MIN(1,MAX(0,(V33-가정!$C$27)/(가정!$C$28-가정!$C$27)))))/(IF(AE33="",0,가정!$C$31)+IF(AB33="",0,가정!$C$32)+IF(AD33="",0,가정!$C$33)+IF(V33="",0,가정!$C$34))*100,""))</f>
        <v/>
      </c>
      <c r="AI33" s="17">
        <f>IF(AH33="","",IF(U33&lt;=0,"역마진",IF(AH33&gt;=가정!$C$35,"GO",IF(AH33&gt;=가정!$C$36,"검토","SKIP"))))</f>
        <v/>
      </c>
    </row>
    <row r="34">
      <c r="B34" s="6" t="n">
        <v>27</v>
      </c>
      <c r="C34" s="7" t="n"/>
      <c r="E34" s="7" t="n"/>
      <c r="F34" s="7" t="n"/>
      <c r="G34" s="8" t="n"/>
      <c r="H34" s="8" t="n">
        <v>0</v>
      </c>
      <c r="I34" s="9">
        <f>J34*가정!$C$10</f>
        <v/>
      </c>
      <c r="J34" s="10" t="n"/>
      <c r="K34" s="11">
        <f>가정!$C$14</f>
        <v/>
      </c>
      <c r="L34" s="8" t="n"/>
      <c r="M34" s="8" t="n"/>
      <c r="N34" s="9">
        <f>IF(가정!$C$25="Y",가정!$C$24,G34*가정!$C$16)</f>
        <v/>
      </c>
      <c r="P34" s="9">
        <f>(G34*K34)+(H34*가정!$C$15)</f>
        <v/>
      </c>
      <c r="Q34" s="9">
        <f>IF(가정!$C$5="간이과세",(G34+H34)*0.015,(G34+H34)/11-((L34+M34+N34+P34)/11)-IF(가정!$C$11="정식통관",I34*가정!$C$12,0))</f>
        <v/>
      </c>
      <c r="R34" s="9">
        <f>G34+H34-I34-L34-M34-N34-P34-Q34</f>
        <v/>
      </c>
      <c r="S34" s="9">
        <f>MAX(0,R34)*가정!$C$7</f>
        <v/>
      </c>
      <c r="T34" s="9">
        <f>G34*가정!$C$17</f>
        <v/>
      </c>
      <c r="U34" s="9">
        <f>R34-S34-T34</f>
        <v/>
      </c>
      <c r="V34" s="12">
        <f>IF(G34=0,"",U34/G34)</f>
        <v/>
      </c>
      <c r="X34" s="7" t="n"/>
      <c r="Y34" s="7" t="n"/>
      <c r="Z34" s="7" t="n"/>
      <c r="AA34" s="13" t="n"/>
      <c r="AB34" s="13" t="n"/>
      <c r="AC34" s="14" t="n"/>
      <c r="AD34" s="14" t="n"/>
      <c r="AE34" s="13" t="n"/>
      <c r="AF34" s="15">
        <f>IF((1-K34-가정!$C$16-가정!$C$17-가정!$C$27-1/11)&lt;=0,"",IFERROR((I34+L34+M34)/(1-K34-가정!$C$16-가정!$C$17-가정!$C$27-1/11),""))</f>
        <v/>
      </c>
      <c r="AG34" s="15">
        <f>IF(OR(AA34="",AF34=""),"",AA34-AF34)</f>
        <v/>
      </c>
      <c r="AH34" s="16">
        <f>IF(G34="","",IFERROR((IF(AE34="",0,가정!$C$31*MIN(1,LOG(AE34+1)/LOG(가정!$C$30)))+IF(AB34="",0,가정!$C$32*(MAX(0,1-AB34/가정!$C$29)*0.6+AC34*0.4))+IF(AD34="",0,가정!$C$33*MAX(0,1-AD34))+IF(V34="",0,가정!$C$34*MIN(1,MAX(0,(V34-가정!$C$27)/(가정!$C$28-가정!$C$27)))))/(IF(AE34="",0,가정!$C$31)+IF(AB34="",0,가정!$C$32)+IF(AD34="",0,가정!$C$33)+IF(V34="",0,가정!$C$34))*100,""))</f>
        <v/>
      </c>
      <c r="AI34" s="17">
        <f>IF(AH34="","",IF(U34&lt;=0,"역마진",IF(AH34&gt;=가정!$C$35,"GO",IF(AH34&gt;=가정!$C$36,"검토","SKIP"))))</f>
        <v/>
      </c>
    </row>
    <row r="35">
      <c r="B35" s="6" t="n">
        <v>28</v>
      </c>
      <c r="C35" s="7" t="n"/>
      <c r="E35" s="7" t="n"/>
      <c r="F35" s="7" t="n"/>
      <c r="G35" s="8" t="n"/>
      <c r="H35" s="8" t="n">
        <v>0</v>
      </c>
      <c r="I35" s="9">
        <f>J35*가정!$C$10</f>
        <v/>
      </c>
      <c r="J35" s="10" t="n"/>
      <c r="K35" s="11">
        <f>가정!$C$14</f>
        <v/>
      </c>
      <c r="L35" s="8" t="n"/>
      <c r="M35" s="8" t="n"/>
      <c r="N35" s="9">
        <f>IF(가정!$C$25="Y",가정!$C$24,G35*가정!$C$16)</f>
        <v/>
      </c>
      <c r="P35" s="9">
        <f>(G35*K35)+(H35*가정!$C$15)</f>
        <v/>
      </c>
      <c r="Q35" s="9">
        <f>IF(가정!$C$5="간이과세",(G35+H35)*0.015,(G35+H35)/11-((L35+M35+N35+P35)/11)-IF(가정!$C$11="정식통관",I35*가정!$C$12,0))</f>
        <v/>
      </c>
      <c r="R35" s="9">
        <f>G35+H35-I35-L35-M35-N35-P35-Q35</f>
        <v/>
      </c>
      <c r="S35" s="9">
        <f>MAX(0,R35)*가정!$C$7</f>
        <v/>
      </c>
      <c r="T35" s="9">
        <f>G35*가정!$C$17</f>
        <v/>
      </c>
      <c r="U35" s="9">
        <f>R35-S35-T35</f>
        <v/>
      </c>
      <c r="V35" s="12">
        <f>IF(G35=0,"",U35/G35)</f>
        <v/>
      </c>
      <c r="X35" s="7" t="n"/>
      <c r="Y35" s="7" t="n"/>
      <c r="Z35" s="7" t="n"/>
      <c r="AA35" s="13" t="n"/>
      <c r="AB35" s="13" t="n"/>
      <c r="AC35" s="14" t="n"/>
      <c r="AD35" s="14" t="n"/>
      <c r="AE35" s="13" t="n"/>
      <c r="AF35" s="15">
        <f>IF((1-K35-가정!$C$16-가정!$C$17-가정!$C$27-1/11)&lt;=0,"",IFERROR((I35+L35+M35)/(1-K35-가정!$C$16-가정!$C$17-가정!$C$27-1/11),""))</f>
        <v/>
      </c>
      <c r="AG35" s="15">
        <f>IF(OR(AA35="",AF35=""),"",AA35-AF35)</f>
        <v/>
      </c>
      <c r="AH35" s="16">
        <f>IF(G35="","",IFERROR((IF(AE35="",0,가정!$C$31*MIN(1,LOG(AE35+1)/LOG(가정!$C$30)))+IF(AB35="",0,가정!$C$32*(MAX(0,1-AB35/가정!$C$29)*0.6+AC35*0.4))+IF(AD35="",0,가정!$C$33*MAX(0,1-AD35))+IF(V35="",0,가정!$C$34*MIN(1,MAX(0,(V35-가정!$C$27)/(가정!$C$28-가정!$C$27)))))/(IF(AE35="",0,가정!$C$31)+IF(AB35="",0,가정!$C$32)+IF(AD35="",0,가정!$C$33)+IF(V35="",0,가정!$C$34))*100,""))</f>
        <v/>
      </c>
      <c r="AI35" s="17">
        <f>IF(AH35="","",IF(U35&lt;=0,"역마진",IF(AH35&gt;=가정!$C$35,"GO",IF(AH35&gt;=가정!$C$36,"검토","SKIP"))))</f>
        <v/>
      </c>
    </row>
    <row r="36">
      <c r="B36" s="6" t="n">
        <v>29</v>
      </c>
      <c r="C36" s="7" t="n"/>
      <c r="E36" s="7" t="n"/>
      <c r="F36" s="7" t="n"/>
      <c r="G36" s="8" t="n"/>
      <c r="H36" s="8" t="n">
        <v>0</v>
      </c>
      <c r="I36" s="9">
        <f>J36*가정!$C$10</f>
        <v/>
      </c>
      <c r="J36" s="10" t="n"/>
      <c r="K36" s="11">
        <f>가정!$C$14</f>
        <v/>
      </c>
      <c r="L36" s="8" t="n"/>
      <c r="M36" s="8" t="n"/>
      <c r="N36" s="9">
        <f>IF(가정!$C$25="Y",가정!$C$24,G36*가정!$C$16)</f>
        <v/>
      </c>
      <c r="P36" s="9">
        <f>(G36*K36)+(H36*가정!$C$15)</f>
        <v/>
      </c>
      <c r="Q36" s="9">
        <f>IF(가정!$C$5="간이과세",(G36+H36)*0.015,(G36+H36)/11-((L36+M36+N36+P36)/11)-IF(가정!$C$11="정식통관",I36*가정!$C$12,0))</f>
        <v/>
      </c>
      <c r="R36" s="9">
        <f>G36+H36-I36-L36-M36-N36-P36-Q36</f>
        <v/>
      </c>
      <c r="S36" s="9">
        <f>MAX(0,R36)*가정!$C$7</f>
        <v/>
      </c>
      <c r="T36" s="9">
        <f>G36*가정!$C$17</f>
        <v/>
      </c>
      <c r="U36" s="9">
        <f>R36-S36-T36</f>
        <v/>
      </c>
      <c r="V36" s="12">
        <f>IF(G36=0,"",U36/G36)</f>
        <v/>
      </c>
      <c r="X36" s="7" t="n"/>
      <c r="Y36" s="7" t="n"/>
      <c r="Z36" s="7" t="n"/>
      <c r="AA36" s="13" t="n"/>
      <c r="AB36" s="13" t="n"/>
      <c r="AC36" s="14" t="n"/>
      <c r="AD36" s="14" t="n"/>
      <c r="AE36" s="13" t="n"/>
      <c r="AF36" s="15">
        <f>IF((1-K36-가정!$C$16-가정!$C$17-가정!$C$27-1/11)&lt;=0,"",IFERROR((I36+L36+M36)/(1-K36-가정!$C$16-가정!$C$17-가정!$C$27-1/11),""))</f>
        <v/>
      </c>
      <c r="AG36" s="15">
        <f>IF(OR(AA36="",AF36=""),"",AA36-AF36)</f>
        <v/>
      </c>
      <c r="AH36" s="16">
        <f>IF(G36="","",IFERROR((IF(AE36="",0,가정!$C$31*MIN(1,LOG(AE36+1)/LOG(가정!$C$30)))+IF(AB36="",0,가정!$C$32*(MAX(0,1-AB36/가정!$C$29)*0.6+AC36*0.4))+IF(AD36="",0,가정!$C$33*MAX(0,1-AD36))+IF(V36="",0,가정!$C$34*MIN(1,MAX(0,(V36-가정!$C$27)/(가정!$C$28-가정!$C$27)))))/(IF(AE36="",0,가정!$C$31)+IF(AB36="",0,가정!$C$32)+IF(AD36="",0,가정!$C$33)+IF(V36="",0,가정!$C$34))*100,""))</f>
        <v/>
      </c>
      <c r="AI36" s="17">
        <f>IF(AH36="","",IF(U36&lt;=0,"역마진",IF(AH36&gt;=가정!$C$35,"GO",IF(AH36&gt;=가정!$C$36,"검토","SKIP"))))</f>
        <v/>
      </c>
    </row>
    <row r="37">
      <c r="B37" s="6" t="n">
        <v>30</v>
      </c>
      <c r="C37" s="7" t="n"/>
      <c r="E37" s="7" t="n"/>
      <c r="F37" s="7" t="n"/>
      <c r="G37" s="8" t="n"/>
      <c r="H37" s="8" t="n">
        <v>0</v>
      </c>
      <c r="I37" s="9">
        <f>J37*가정!$C$10</f>
        <v/>
      </c>
      <c r="J37" s="10" t="n"/>
      <c r="K37" s="11">
        <f>가정!$C$14</f>
        <v/>
      </c>
      <c r="L37" s="8" t="n"/>
      <c r="M37" s="8" t="n"/>
      <c r="N37" s="9">
        <f>IF(가정!$C$25="Y",가정!$C$24,G37*가정!$C$16)</f>
        <v/>
      </c>
      <c r="P37" s="9">
        <f>(G37*K37)+(H37*가정!$C$15)</f>
        <v/>
      </c>
      <c r="Q37" s="9">
        <f>IF(가정!$C$5="간이과세",(G37+H37)*0.015,(G37+H37)/11-((L37+M37+N37+P37)/11)-IF(가정!$C$11="정식통관",I37*가정!$C$12,0))</f>
        <v/>
      </c>
      <c r="R37" s="9">
        <f>G37+H37-I37-L37-M37-N37-P37-Q37</f>
        <v/>
      </c>
      <c r="S37" s="9">
        <f>MAX(0,R37)*가정!$C$7</f>
        <v/>
      </c>
      <c r="T37" s="9">
        <f>G37*가정!$C$17</f>
        <v/>
      </c>
      <c r="U37" s="9">
        <f>R37-S37-T37</f>
        <v/>
      </c>
      <c r="V37" s="12">
        <f>IF(G37=0,"",U37/G37)</f>
        <v/>
      </c>
      <c r="X37" s="7" t="n"/>
      <c r="Y37" s="7" t="n"/>
      <c r="Z37" s="7" t="n"/>
      <c r="AA37" s="13" t="n"/>
      <c r="AB37" s="13" t="n"/>
      <c r="AC37" s="14" t="n"/>
      <c r="AD37" s="14" t="n"/>
      <c r="AE37" s="13" t="n"/>
      <c r="AF37" s="15">
        <f>IF((1-K37-가정!$C$16-가정!$C$17-가정!$C$27-1/11)&lt;=0,"",IFERROR((I37+L37+M37)/(1-K37-가정!$C$16-가정!$C$17-가정!$C$27-1/11),""))</f>
        <v/>
      </c>
      <c r="AG37" s="15">
        <f>IF(OR(AA37="",AF37=""),"",AA37-AF37)</f>
        <v/>
      </c>
      <c r="AH37" s="16">
        <f>IF(G37="","",IFERROR((IF(AE37="",0,가정!$C$31*MIN(1,LOG(AE37+1)/LOG(가정!$C$30)))+IF(AB37="",0,가정!$C$32*(MAX(0,1-AB37/가정!$C$29)*0.6+AC37*0.4))+IF(AD37="",0,가정!$C$33*MAX(0,1-AD37))+IF(V37="",0,가정!$C$34*MIN(1,MAX(0,(V37-가정!$C$27)/(가정!$C$28-가정!$C$27)))))/(IF(AE37="",0,가정!$C$31)+IF(AB37="",0,가정!$C$32)+IF(AD37="",0,가정!$C$33)+IF(V37="",0,가정!$C$34))*100,""))</f>
        <v/>
      </c>
      <c r="AI37" s="17">
        <f>IF(AH37="","",IF(U37&lt;=0,"역마진",IF(AH37&gt;=가정!$C$35,"GO",IF(AH37&gt;=가정!$C$36,"검토","SKIP"))))</f>
        <v/>
      </c>
    </row>
    <row r="38">
      <c r="B38" s="6" t="n">
        <v>31</v>
      </c>
      <c r="C38" s="7" t="n"/>
      <c r="E38" s="7" t="n"/>
      <c r="F38" s="7" t="n"/>
      <c r="G38" s="8" t="n"/>
      <c r="H38" s="8" t="n">
        <v>0</v>
      </c>
      <c r="I38" s="9">
        <f>J38*가정!$C$10</f>
        <v/>
      </c>
      <c r="J38" s="10" t="n"/>
      <c r="K38" s="11">
        <f>가정!$C$14</f>
        <v/>
      </c>
      <c r="L38" s="8" t="n"/>
      <c r="M38" s="8" t="n"/>
      <c r="N38" s="9">
        <f>IF(가정!$C$25="Y",가정!$C$24,G38*가정!$C$16)</f>
        <v/>
      </c>
      <c r="P38" s="9">
        <f>(G38*K38)+(H38*가정!$C$15)</f>
        <v/>
      </c>
      <c r="Q38" s="9">
        <f>IF(가정!$C$5="간이과세",(G38+H38)*0.015,(G38+H38)/11-((L38+M38+N38+P38)/11)-IF(가정!$C$11="정식통관",I38*가정!$C$12,0))</f>
        <v/>
      </c>
      <c r="R38" s="9">
        <f>G38+H38-I38-L38-M38-N38-P38-Q38</f>
        <v/>
      </c>
      <c r="S38" s="9">
        <f>MAX(0,R38)*가정!$C$7</f>
        <v/>
      </c>
      <c r="T38" s="9">
        <f>G38*가정!$C$17</f>
        <v/>
      </c>
      <c r="U38" s="9">
        <f>R38-S38-T38</f>
        <v/>
      </c>
      <c r="V38" s="12">
        <f>IF(G38=0,"",U38/G38)</f>
        <v/>
      </c>
      <c r="X38" s="7" t="n"/>
      <c r="Y38" s="7" t="n"/>
      <c r="Z38" s="7" t="n"/>
      <c r="AA38" s="13" t="n"/>
      <c r="AB38" s="13" t="n"/>
      <c r="AC38" s="14" t="n"/>
      <c r="AD38" s="14" t="n"/>
      <c r="AE38" s="13" t="n"/>
      <c r="AF38" s="15">
        <f>IF((1-K38-가정!$C$16-가정!$C$17-가정!$C$27-1/11)&lt;=0,"",IFERROR((I38+L38+M38)/(1-K38-가정!$C$16-가정!$C$17-가정!$C$27-1/11),""))</f>
        <v/>
      </c>
      <c r="AG38" s="15">
        <f>IF(OR(AA38="",AF38=""),"",AA38-AF38)</f>
        <v/>
      </c>
      <c r="AH38" s="16">
        <f>IF(G38="","",IFERROR((IF(AE38="",0,가정!$C$31*MIN(1,LOG(AE38+1)/LOG(가정!$C$30)))+IF(AB38="",0,가정!$C$32*(MAX(0,1-AB38/가정!$C$29)*0.6+AC38*0.4))+IF(AD38="",0,가정!$C$33*MAX(0,1-AD38))+IF(V38="",0,가정!$C$34*MIN(1,MAX(0,(V38-가정!$C$27)/(가정!$C$28-가정!$C$27)))))/(IF(AE38="",0,가정!$C$31)+IF(AB38="",0,가정!$C$32)+IF(AD38="",0,가정!$C$33)+IF(V38="",0,가정!$C$34))*100,""))</f>
        <v/>
      </c>
      <c r="AI38" s="17">
        <f>IF(AH38="","",IF(U38&lt;=0,"역마진",IF(AH38&gt;=가정!$C$35,"GO",IF(AH38&gt;=가정!$C$36,"검토","SKIP"))))</f>
        <v/>
      </c>
    </row>
    <row r="39">
      <c r="B39" s="6" t="n">
        <v>32</v>
      </c>
      <c r="C39" s="7" t="n"/>
      <c r="E39" s="7" t="n"/>
      <c r="F39" s="7" t="n"/>
      <c r="G39" s="8" t="n"/>
      <c r="H39" s="8" t="n">
        <v>0</v>
      </c>
      <c r="I39" s="9">
        <f>J39*가정!$C$10</f>
        <v/>
      </c>
      <c r="J39" s="10" t="n"/>
      <c r="K39" s="11">
        <f>가정!$C$14</f>
        <v/>
      </c>
      <c r="L39" s="8" t="n"/>
      <c r="M39" s="8" t="n"/>
      <c r="N39" s="9">
        <f>IF(가정!$C$25="Y",가정!$C$24,G39*가정!$C$16)</f>
        <v/>
      </c>
      <c r="P39" s="9">
        <f>(G39*K39)+(H39*가정!$C$15)</f>
        <v/>
      </c>
      <c r="Q39" s="9">
        <f>IF(가정!$C$5="간이과세",(G39+H39)*0.015,(G39+H39)/11-((L39+M39+N39+P39)/11)-IF(가정!$C$11="정식통관",I39*가정!$C$12,0))</f>
        <v/>
      </c>
      <c r="R39" s="9">
        <f>G39+H39-I39-L39-M39-N39-P39-Q39</f>
        <v/>
      </c>
      <c r="S39" s="9">
        <f>MAX(0,R39)*가정!$C$7</f>
        <v/>
      </c>
      <c r="T39" s="9">
        <f>G39*가정!$C$17</f>
        <v/>
      </c>
      <c r="U39" s="9">
        <f>R39-S39-T39</f>
        <v/>
      </c>
      <c r="V39" s="12">
        <f>IF(G39=0,"",U39/G39)</f>
        <v/>
      </c>
      <c r="X39" s="7" t="n"/>
      <c r="Y39" s="7" t="n"/>
      <c r="Z39" s="7" t="n"/>
      <c r="AA39" s="13" t="n"/>
      <c r="AB39" s="13" t="n"/>
      <c r="AC39" s="14" t="n"/>
      <c r="AD39" s="14" t="n"/>
      <c r="AE39" s="13" t="n"/>
      <c r="AF39" s="15">
        <f>IF((1-K39-가정!$C$16-가정!$C$17-가정!$C$27-1/11)&lt;=0,"",IFERROR((I39+L39+M39)/(1-K39-가정!$C$16-가정!$C$17-가정!$C$27-1/11),""))</f>
        <v/>
      </c>
      <c r="AG39" s="15">
        <f>IF(OR(AA39="",AF39=""),"",AA39-AF39)</f>
        <v/>
      </c>
      <c r="AH39" s="16">
        <f>IF(G39="","",IFERROR((IF(AE39="",0,가정!$C$31*MIN(1,LOG(AE39+1)/LOG(가정!$C$30)))+IF(AB39="",0,가정!$C$32*(MAX(0,1-AB39/가정!$C$29)*0.6+AC39*0.4))+IF(AD39="",0,가정!$C$33*MAX(0,1-AD39))+IF(V39="",0,가정!$C$34*MIN(1,MAX(0,(V39-가정!$C$27)/(가정!$C$28-가정!$C$27)))))/(IF(AE39="",0,가정!$C$31)+IF(AB39="",0,가정!$C$32)+IF(AD39="",0,가정!$C$33)+IF(V39="",0,가정!$C$34))*100,""))</f>
        <v/>
      </c>
      <c r="AI39" s="17">
        <f>IF(AH39="","",IF(U39&lt;=0,"역마진",IF(AH39&gt;=가정!$C$35,"GO",IF(AH39&gt;=가정!$C$36,"검토","SKIP"))))</f>
        <v/>
      </c>
    </row>
    <row r="40">
      <c r="B40" s="6" t="n">
        <v>33</v>
      </c>
      <c r="C40" s="7" t="n"/>
      <c r="E40" s="7" t="n"/>
      <c r="F40" s="7" t="n"/>
      <c r="G40" s="8" t="n"/>
      <c r="H40" s="8" t="n">
        <v>0</v>
      </c>
      <c r="I40" s="9">
        <f>J40*가정!$C$10</f>
        <v/>
      </c>
      <c r="J40" s="10" t="n"/>
      <c r="K40" s="11">
        <f>가정!$C$14</f>
        <v/>
      </c>
      <c r="L40" s="8" t="n"/>
      <c r="M40" s="8" t="n"/>
      <c r="N40" s="9">
        <f>IF(가정!$C$25="Y",가정!$C$24,G40*가정!$C$16)</f>
        <v/>
      </c>
      <c r="P40" s="9">
        <f>(G40*K40)+(H40*가정!$C$15)</f>
        <v/>
      </c>
      <c r="Q40" s="9">
        <f>IF(가정!$C$5="간이과세",(G40+H40)*0.015,(G40+H40)/11-((L40+M40+N40+P40)/11)-IF(가정!$C$11="정식통관",I40*가정!$C$12,0))</f>
        <v/>
      </c>
      <c r="R40" s="9">
        <f>G40+H40-I40-L40-M40-N40-P40-Q40</f>
        <v/>
      </c>
      <c r="S40" s="9">
        <f>MAX(0,R40)*가정!$C$7</f>
        <v/>
      </c>
      <c r="T40" s="9">
        <f>G40*가정!$C$17</f>
        <v/>
      </c>
      <c r="U40" s="9">
        <f>R40-S40-T40</f>
        <v/>
      </c>
      <c r="V40" s="12">
        <f>IF(G40=0,"",U40/G40)</f>
        <v/>
      </c>
      <c r="X40" s="7" t="n"/>
      <c r="Y40" s="7" t="n"/>
      <c r="Z40" s="7" t="n"/>
      <c r="AA40" s="13" t="n"/>
      <c r="AB40" s="13" t="n"/>
      <c r="AC40" s="14" t="n"/>
      <c r="AD40" s="14" t="n"/>
      <c r="AE40" s="13" t="n"/>
      <c r="AF40" s="15">
        <f>IF((1-K40-가정!$C$16-가정!$C$17-가정!$C$27-1/11)&lt;=0,"",IFERROR((I40+L40+M40)/(1-K40-가정!$C$16-가정!$C$17-가정!$C$27-1/11),""))</f>
        <v/>
      </c>
      <c r="AG40" s="15">
        <f>IF(OR(AA40="",AF40=""),"",AA40-AF40)</f>
        <v/>
      </c>
      <c r="AH40" s="16">
        <f>IF(G40="","",IFERROR((IF(AE40="",0,가정!$C$31*MIN(1,LOG(AE40+1)/LOG(가정!$C$30)))+IF(AB40="",0,가정!$C$32*(MAX(0,1-AB40/가정!$C$29)*0.6+AC40*0.4))+IF(AD40="",0,가정!$C$33*MAX(0,1-AD40))+IF(V40="",0,가정!$C$34*MIN(1,MAX(0,(V40-가정!$C$27)/(가정!$C$28-가정!$C$27)))))/(IF(AE40="",0,가정!$C$31)+IF(AB40="",0,가정!$C$32)+IF(AD40="",0,가정!$C$33)+IF(V40="",0,가정!$C$34))*100,""))</f>
        <v/>
      </c>
      <c r="AI40" s="17">
        <f>IF(AH40="","",IF(U40&lt;=0,"역마진",IF(AH40&gt;=가정!$C$35,"GO",IF(AH40&gt;=가정!$C$36,"검토","SKIP"))))</f>
        <v/>
      </c>
    </row>
    <row r="41">
      <c r="B41" s="6" t="n">
        <v>34</v>
      </c>
      <c r="C41" s="7" t="n"/>
      <c r="E41" s="7" t="n"/>
      <c r="F41" s="7" t="n"/>
      <c r="G41" s="8" t="n"/>
      <c r="H41" s="8" t="n">
        <v>0</v>
      </c>
      <c r="I41" s="9">
        <f>J41*가정!$C$10</f>
        <v/>
      </c>
      <c r="J41" s="10" t="n"/>
      <c r="K41" s="11">
        <f>가정!$C$14</f>
        <v/>
      </c>
      <c r="L41" s="8" t="n"/>
      <c r="M41" s="8" t="n"/>
      <c r="N41" s="9">
        <f>IF(가정!$C$25="Y",가정!$C$24,G41*가정!$C$16)</f>
        <v/>
      </c>
      <c r="P41" s="9">
        <f>(G41*K41)+(H41*가정!$C$15)</f>
        <v/>
      </c>
      <c r="Q41" s="9">
        <f>IF(가정!$C$5="간이과세",(G41+H41)*0.015,(G41+H41)/11-((L41+M41+N41+P41)/11)-IF(가정!$C$11="정식통관",I41*가정!$C$12,0))</f>
        <v/>
      </c>
      <c r="R41" s="9">
        <f>G41+H41-I41-L41-M41-N41-P41-Q41</f>
        <v/>
      </c>
      <c r="S41" s="9">
        <f>MAX(0,R41)*가정!$C$7</f>
        <v/>
      </c>
      <c r="T41" s="9">
        <f>G41*가정!$C$17</f>
        <v/>
      </c>
      <c r="U41" s="9">
        <f>R41-S41-T41</f>
        <v/>
      </c>
      <c r="V41" s="12">
        <f>IF(G41=0,"",U41/G41)</f>
        <v/>
      </c>
      <c r="X41" s="7" t="n"/>
      <c r="Y41" s="7" t="n"/>
      <c r="Z41" s="7" t="n"/>
      <c r="AA41" s="13" t="n"/>
      <c r="AB41" s="13" t="n"/>
      <c r="AC41" s="14" t="n"/>
      <c r="AD41" s="14" t="n"/>
      <c r="AE41" s="13" t="n"/>
      <c r="AF41" s="15">
        <f>IF((1-K41-가정!$C$16-가정!$C$17-가정!$C$27-1/11)&lt;=0,"",IFERROR((I41+L41+M41)/(1-K41-가정!$C$16-가정!$C$17-가정!$C$27-1/11),""))</f>
        <v/>
      </c>
      <c r="AG41" s="15">
        <f>IF(OR(AA41="",AF41=""),"",AA41-AF41)</f>
        <v/>
      </c>
      <c r="AH41" s="16">
        <f>IF(G41="","",IFERROR((IF(AE41="",0,가정!$C$31*MIN(1,LOG(AE41+1)/LOG(가정!$C$30)))+IF(AB41="",0,가정!$C$32*(MAX(0,1-AB41/가정!$C$29)*0.6+AC41*0.4))+IF(AD41="",0,가정!$C$33*MAX(0,1-AD41))+IF(V41="",0,가정!$C$34*MIN(1,MAX(0,(V41-가정!$C$27)/(가정!$C$28-가정!$C$27)))))/(IF(AE41="",0,가정!$C$31)+IF(AB41="",0,가정!$C$32)+IF(AD41="",0,가정!$C$33)+IF(V41="",0,가정!$C$34))*100,""))</f>
        <v/>
      </c>
      <c r="AI41" s="17">
        <f>IF(AH41="","",IF(U41&lt;=0,"역마진",IF(AH41&gt;=가정!$C$35,"GO",IF(AH41&gt;=가정!$C$36,"검토","SKIP"))))</f>
        <v/>
      </c>
    </row>
    <row r="42">
      <c r="B42" s="6" t="n">
        <v>35</v>
      </c>
      <c r="C42" s="7" t="n"/>
      <c r="E42" s="7" t="n"/>
      <c r="F42" s="7" t="n"/>
      <c r="G42" s="8" t="n"/>
      <c r="H42" s="8" t="n">
        <v>0</v>
      </c>
      <c r="I42" s="9">
        <f>J42*가정!$C$10</f>
        <v/>
      </c>
      <c r="J42" s="10" t="n"/>
      <c r="K42" s="11">
        <f>가정!$C$14</f>
        <v/>
      </c>
      <c r="L42" s="8" t="n"/>
      <c r="M42" s="8" t="n"/>
      <c r="N42" s="9">
        <f>IF(가정!$C$25="Y",가정!$C$24,G42*가정!$C$16)</f>
        <v/>
      </c>
      <c r="P42" s="9">
        <f>(G42*K42)+(H42*가정!$C$15)</f>
        <v/>
      </c>
      <c r="Q42" s="9">
        <f>IF(가정!$C$5="간이과세",(G42+H42)*0.015,(G42+H42)/11-((L42+M42+N42+P42)/11)-IF(가정!$C$11="정식통관",I42*가정!$C$12,0))</f>
        <v/>
      </c>
      <c r="R42" s="9">
        <f>G42+H42-I42-L42-M42-N42-P42-Q42</f>
        <v/>
      </c>
      <c r="S42" s="9">
        <f>MAX(0,R42)*가정!$C$7</f>
        <v/>
      </c>
      <c r="T42" s="9">
        <f>G42*가정!$C$17</f>
        <v/>
      </c>
      <c r="U42" s="9">
        <f>R42-S42-T42</f>
        <v/>
      </c>
      <c r="V42" s="12">
        <f>IF(G42=0,"",U42/G42)</f>
        <v/>
      </c>
      <c r="X42" s="7" t="n"/>
      <c r="Y42" s="7" t="n"/>
      <c r="Z42" s="7" t="n"/>
      <c r="AA42" s="13" t="n"/>
      <c r="AB42" s="13" t="n"/>
      <c r="AC42" s="14" t="n"/>
      <c r="AD42" s="14" t="n"/>
      <c r="AE42" s="13" t="n"/>
      <c r="AF42" s="15">
        <f>IF((1-K42-가정!$C$16-가정!$C$17-가정!$C$27-1/11)&lt;=0,"",IFERROR((I42+L42+M42)/(1-K42-가정!$C$16-가정!$C$17-가정!$C$27-1/11),""))</f>
        <v/>
      </c>
      <c r="AG42" s="15">
        <f>IF(OR(AA42="",AF42=""),"",AA42-AF42)</f>
        <v/>
      </c>
      <c r="AH42" s="16">
        <f>IF(G42="","",IFERROR((IF(AE42="",0,가정!$C$31*MIN(1,LOG(AE42+1)/LOG(가정!$C$30)))+IF(AB42="",0,가정!$C$32*(MAX(0,1-AB42/가정!$C$29)*0.6+AC42*0.4))+IF(AD42="",0,가정!$C$33*MAX(0,1-AD42))+IF(V42="",0,가정!$C$34*MIN(1,MAX(0,(V42-가정!$C$27)/(가정!$C$28-가정!$C$27)))))/(IF(AE42="",0,가정!$C$31)+IF(AB42="",0,가정!$C$32)+IF(AD42="",0,가정!$C$33)+IF(V42="",0,가정!$C$34))*100,""))</f>
        <v/>
      </c>
      <c r="AI42" s="17">
        <f>IF(AH42="","",IF(U42&lt;=0,"역마진",IF(AH42&gt;=가정!$C$35,"GO",IF(AH42&gt;=가정!$C$36,"검토","SKIP"))))</f>
        <v/>
      </c>
    </row>
    <row r="43">
      <c r="B43" s="6" t="n">
        <v>36</v>
      </c>
      <c r="C43" s="7" t="n"/>
      <c r="E43" s="7" t="n"/>
      <c r="F43" s="7" t="n"/>
      <c r="G43" s="8" t="n"/>
      <c r="H43" s="8" t="n">
        <v>0</v>
      </c>
      <c r="I43" s="9">
        <f>J43*가정!$C$10</f>
        <v/>
      </c>
      <c r="J43" s="10" t="n"/>
      <c r="K43" s="11">
        <f>가정!$C$14</f>
        <v/>
      </c>
      <c r="L43" s="8" t="n"/>
      <c r="M43" s="8" t="n"/>
      <c r="N43" s="9">
        <f>IF(가정!$C$25="Y",가정!$C$24,G43*가정!$C$16)</f>
        <v/>
      </c>
      <c r="P43" s="9">
        <f>(G43*K43)+(H43*가정!$C$15)</f>
        <v/>
      </c>
      <c r="Q43" s="9">
        <f>IF(가정!$C$5="간이과세",(G43+H43)*0.015,(G43+H43)/11-((L43+M43+N43+P43)/11)-IF(가정!$C$11="정식통관",I43*가정!$C$12,0))</f>
        <v/>
      </c>
      <c r="R43" s="9">
        <f>G43+H43-I43-L43-M43-N43-P43-Q43</f>
        <v/>
      </c>
      <c r="S43" s="9">
        <f>MAX(0,R43)*가정!$C$7</f>
        <v/>
      </c>
      <c r="T43" s="9">
        <f>G43*가정!$C$17</f>
        <v/>
      </c>
      <c r="U43" s="9">
        <f>R43-S43-T43</f>
        <v/>
      </c>
      <c r="V43" s="12">
        <f>IF(G43=0,"",U43/G43)</f>
        <v/>
      </c>
      <c r="X43" s="7" t="n"/>
      <c r="Y43" s="7" t="n"/>
      <c r="Z43" s="7" t="n"/>
      <c r="AA43" s="13" t="n"/>
      <c r="AB43" s="13" t="n"/>
      <c r="AC43" s="14" t="n"/>
      <c r="AD43" s="14" t="n"/>
      <c r="AE43" s="13" t="n"/>
      <c r="AF43" s="15">
        <f>IF((1-K43-가정!$C$16-가정!$C$17-가정!$C$27-1/11)&lt;=0,"",IFERROR((I43+L43+M43)/(1-K43-가정!$C$16-가정!$C$17-가정!$C$27-1/11),""))</f>
        <v/>
      </c>
      <c r="AG43" s="15">
        <f>IF(OR(AA43="",AF43=""),"",AA43-AF43)</f>
        <v/>
      </c>
      <c r="AH43" s="16">
        <f>IF(G43="","",IFERROR((IF(AE43="",0,가정!$C$31*MIN(1,LOG(AE43+1)/LOG(가정!$C$30)))+IF(AB43="",0,가정!$C$32*(MAX(0,1-AB43/가정!$C$29)*0.6+AC43*0.4))+IF(AD43="",0,가정!$C$33*MAX(0,1-AD43))+IF(V43="",0,가정!$C$34*MIN(1,MAX(0,(V43-가정!$C$27)/(가정!$C$28-가정!$C$27)))))/(IF(AE43="",0,가정!$C$31)+IF(AB43="",0,가정!$C$32)+IF(AD43="",0,가정!$C$33)+IF(V43="",0,가정!$C$34))*100,""))</f>
        <v/>
      </c>
      <c r="AI43" s="17">
        <f>IF(AH43="","",IF(U43&lt;=0,"역마진",IF(AH43&gt;=가정!$C$35,"GO",IF(AH43&gt;=가정!$C$36,"검토","SKIP"))))</f>
        <v/>
      </c>
    </row>
    <row r="44">
      <c r="B44" s="6" t="n">
        <v>37</v>
      </c>
      <c r="C44" s="7" t="n"/>
      <c r="E44" s="7" t="n"/>
      <c r="F44" s="7" t="n"/>
      <c r="G44" s="8" t="n"/>
      <c r="H44" s="8" t="n">
        <v>0</v>
      </c>
      <c r="I44" s="9">
        <f>J44*가정!$C$10</f>
        <v/>
      </c>
      <c r="J44" s="10" t="n"/>
      <c r="K44" s="11">
        <f>가정!$C$14</f>
        <v/>
      </c>
      <c r="L44" s="8" t="n"/>
      <c r="M44" s="8" t="n"/>
      <c r="N44" s="9">
        <f>IF(가정!$C$25="Y",가정!$C$24,G44*가정!$C$16)</f>
        <v/>
      </c>
      <c r="P44" s="9">
        <f>(G44*K44)+(H44*가정!$C$15)</f>
        <v/>
      </c>
      <c r="Q44" s="9">
        <f>IF(가정!$C$5="간이과세",(G44+H44)*0.015,(G44+H44)/11-((L44+M44+N44+P44)/11)-IF(가정!$C$11="정식통관",I44*가정!$C$12,0))</f>
        <v/>
      </c>
      <c r="R44" s="9">
        <f>G44+H44-I44-L44-M44-N44-P44-Q44</f>
        <v/>
      </c>
      <c r="S44" s="9">
        <f>MAX(0,R44)*가정!$C$7</f>
        <v/>
      </c>
      <c r="T44" s="9">
        <f>G44*가정!$C$17</f>
        <v/>
      </c>
      <c r="U44" s="9">
        <f>R44-S44-T44</f>
        <v/>
      </c>
      <c r="V44" s="12">
        <f>IF(G44=0,"",U44/G44)</f>
        <v/>
      </c>
      <c r="X44" s="7" t="n"/>
      <c r="Y44" s="7" t="n"/>
      <c r="Z44" s="7" t="n"/>
      <c r="AA44" s="13" t="n"/>
      <c r="AB44" s="13" t="n"/>
      <c r="AC44" s="14" t="n"/>
      <c r="AD44" s="14" t="n"/>
      <c r="AE44" s="13" t="n"/>
      <c r="AF44" s="15">
        <f>IF((1-K44-가정!$C$16-가정!$C$17-가정!$C$27-1/11)&lt;=0,"",IFERROR((I44+L44+M44)/(1-K44-가정!$C$16-가정!$C$17-가정!$C$27-1/11),""))</f>
        <v/>
      </c>
      <c r="AG44" s="15">
        <f>IF(OR(AA44="",AF44=""),"",AA44-AF44)</f>
        <v/>
      </c>
      <c r="AH44" s="16">
        <f>IF(G44="","",IFERROR((IF(AE44="",0,가정!$C$31*MIN(1,LOG(AE44+1)/LOG(가정!$C$30)))+IF(AB44="",0,가정!$C$32*(MAX(0,1-AB44/가정!$C$29)*0.6+AC44*0.4))+IF(AD44="",0,가정!$C$33*MAX(0,1-AD44))+IF(V44="",0,가정!$C$34*MIN(1,MAX(0,(V44-가정!$C$27)/(가정!$C$28-가정!$C$27)))))/(IF(AE44="",0,가정!$C$31)+IF(AB44="",0,가정!$C$32)+IF(AD44="",0,가정!$C$33)+IF(V44="",0,가정!$C$34))*100,""))</f>
        <v/>
      </c>
      <c r="AI44" s="17">
        <f>IF(AH44="","",IF(U44&lt;=0,"역마진",IF(AH44&gt;=가정!$C$35,"GO",IF(AH44&gt;=가정!$C$36,"검토","SKIP"))))</f>
        <v/>
      </c>
    </row>
    <row r="45">
      <c r="B45" s="6" t="n">
        <v>38</v>
      </c>
      <c r="C45" s="7" t="n"/>
      <c r="E45" s="7" t="n"/>
      <c r="F45" s="7" t="n"/>
      <c r="G45" s="8" t="n"/>
      <c r="H45" s="8" t="n">
        <v>0</v>
      </c>
      <c r="I45" s="9">
        <f>J45*가정!$C$10</f>
        <v/>
      </c>
      <c r="J45" s="10" t="n"/>
      <c r="K45" s="11">
        <f>가정!$C$14</f>
        <v/>
      </c>
      <c r="L45" s="8" t="n"/>
      <c r="M45" s="8" t="n"/>
      <c r="N45" s="9">
        <f>IF(가정!$C$25="Y",가정!$C$24,G45*가정!$C$16)</f>
        <v/>
      </c>
      <c r="P45" s="9">
        <f>(G45*K45)+(H45*가정!$C$15)</f>
        <v/>
      </c>
      <c r="Q45" s="9">
        <f>IF(가정!$C$5="간이과세",(G45+H45)*0.015,(G45+H45)/11-((L45+M45+N45+P45)/11)-IF(가정!$C$11="정식통관",I45*가정!$C$12,0))</f>
        <v/>
      </c>
      <c r="R45" s="9">
        <f>G45+H45-I45-L45-M45-N45-P45-Q45</f>
        <v/>
      </c>
      <c r="S45" s="9">
        <f>MAX(0,R45)*가정!$C$7</f>
        <v/>
      </c>
      <c r="T45" s="9">
        <f>G45*가정!$C$17</f>
        <v/>
      </c>
      <c r="U45" s="9">
        <f>R45-S45-T45</f>
        <v/>
      </c>
      <c r="V45" s="12">
        <f>IF(G45=0,"",U45/G45)</f>
        <v/>
      </c>
      <c r="X45" s="7" t="n"/>
      <c r="Y45" s="7" t="n"/>
      <c r="Z45" s="7" t="n"/>
      <c r="AA45" s="13" t="n"/>
      <c r="AB45" s="13" t="n"/>
      <c r="AC45" s="14" t="n"/>
      <c r="AD45" s="14" t="n"/>
      <c r="AE45" s="13" t="n"/>
      <c r="AF45" s="15">
        <f>IF((1-K45-가정!$C$16-가정!$C$17-가정!$C$27-1/11)&lt;=0,"",IFERROR((I45+L45+M45)/(1-K45-가정!$C$16-가정!$C$17-가정!$C$27-1/11),""))</f>
        <v/>
      </c>
      <c r="AG45" s="15">
        <f>IF(OR(AA45="",AF45=""),"",AA45-AF45)</f>
        <v/>
      </c>
      <c r="AH45" s="16">
        <f>IF(G45="","",IFERROR((IF(AE45="",0,가정!$C$31*MIN(1,LOG(AE45+1)/LOG(가정!$C$30)))+IF(AB45="",0,가정!$C$32*(MAX(0,1-AB45/가정!$C$29)*0.6+AC45*0.4))+IF(AD45="",0,가정!$C$33*MAX(0,1-AD45))+IF(V45="",0,가정!$C$34*MIN(1,MAX(0,(V45-가정!$C$27)/(가정!$C$28-가정!$C$27)))))/(IF(AE45="",0,가정!$C$31)+IF(AB45="",0,가정!$C$32)+IF(AD45="",0,가정!$C$33)+IF(V45="",0,가정!$C$34))*100,""))</f>
        <v/>
      </c>
      <c r="AI45" s="17">
        <f>IF(AH45="","",IF(U45&lt;=0,"역마진",IF(AH45&gt;=가정!$C$35,"GO",IF(AH45&gt;=가정!$C$36,"검토","SKIP"))))</f>
        <v/>
      </c>
    </row>
    <row r="46">
      <c r="B46" s="6" t="n">
        <v>39</v>
      </c>
      <c r="C46" s="7" t="n"/>
      <c r="E46" s="7" t="n"/>
      <c r="F46" s="7" t="n"/>
      <c r="G46" s="8" t="n"/>
      <c r="H46" s="8" t="n">
        <v>0</v>
      </c>
      <c r="I46" s="9">
        <f>J46*가정!$C$10</f>
        <v/>
      </c>
      <c r="J46" s="10" t="n"/>
      <c r="K46" s="11">
        <f>가정!$C$14</f>
        <v/>
      </c>
      <c r="L46" s="8" t="n"/>
      <c r="M46" s="8" t="n"/>
      <c r="N46" s="9">
        <f>IF(가정!$C$25="Y",가정!$C$24,G46*가정!$C$16)</f>
        <v/>
      </c>
      <c r="P46" s="9">
        <f>(G46*K46)+(H46*가정!$C$15)</f>
        <v/>
      </c>
      <c r="Q46" s="9">
        <f>IF(가정!$C$5="간이과세",(G46+H46)*0.015,(G46+H46)/11-((L46+M46+N46+P46)/11)-IF(가정!$C$11="정식통관",I46*가정!$C$12,0))</f>
        <v/>
      </c>
      <c r="R46" s="9">
        <f>G46+H46-I46-L46-M46-N46-P46-Q46</f>
        <v/>
      </c>
      <c r="S46" s="9">
        <f>MAX(0,R46)*가정!$C$7</f>
        <v/>
      </c>
      <c r="T46" s="9">
        <f>G46*가정!$C$17</f>
        <v/>
      </c>
      <c r="U46" s="9">
        <f>R46-S46-T46</f>
        <v/>
      </c>
      <c r="V46" s="12">
        <f>IF(G46=0,"",U46/G46)</f>
        <v/>
      </c>
      <c r="X46" s="7" t="n"/>
      <c r="Y46" s="7" t="n"/>
      <c r="Z46" s="7" t="n"/>
      <c r="AA46" s="13" t="n"/>
      <c r="AB46" s="13" t="n"/>
      <c r="AC46" s="14" t="n"/>
      <c r="AD46" s="14" t="n"/>
      <c r="AE46" s="13" t="n"/>
      <c r="AF46" s="15">
        <f>IF((1-K46-가정!$C$16-가정!$C$17-가정!$C$27-1/11)&lt;=0,"",IFERROR((I46+L46+M46)/(1-K46-가정!$C$16-가정!$C$17-가정!$C$27-1/11),""))</f>
        <v/>
      </c>
      <c r="AG46" s="15">
        <f>IF(OR(AA46="",AF46=""),"",AA46-AF46)</f>
        <v/>
      </c>
      <c r="AH46" s="16">
        <f>IF(G46="","",IFERROR((IF(AE46="",0,가정!$C$31*MIN(1,LOG(AE46+1)/LOG(가정!$C$30)))+IF(AB46="",0,가정!$C$32*(MAX(0,1-AB46/가정!$C$29)*0.6+AC46*0.4))+IF(AD46="",0,가정!$C$33*MAX(0,1-AD46))+IF(V46="",0,가정!$C$34*MIN(1,MAX(0,(V46-가정!$C$27)/(가정!$C$28-가정!$C$27)))))/(IF(AE46="",0,가정!$C$31)+IF(AB46="",0,가정!$C$32)+IF(AD46="",0,가정!$C$33)+IF(V46="",0,가정!$C$34))*100,""))</f>
        <v/>
      </c>
      <c r="AI46" s="17">
        <f>IF(AH46="","",IF(U46&lt;=0,"역마진",IF(AH46&gt;=가정!$C$35,"GO",IF(AH46&gt;=가정!$C$36,"검토","SKIP"))))</f>
        <v/>
      </c>
    </row>
    <row r="47">
      <c r="B47" s="6" t="n">
        <v>40</v>
      </c>
      <c r="C47" s="7" t="n"/>
      <c r="E47" s="7" t="n"/>
      <c r="F47" s="7" t="n"/>
      <c r="G47" s="8" t="n"/>
      <c r="H47" s="8" t="n">
        <v>0</v>
      </c>
      <c r="I47" s="9">
        <f>J47*가정!$C$10</f>
        <v/>
      </c>
      <c r="J47" s="10" t="n"/>
      <c r="K47" s="11">
        <f>가정!$C$14</f>
        <v/>
      </c>
      <c r="L47" s="8" t="n"/>
      <c r="M47" s="8" t="n"/>
      <c r="N47" s="9">
        <f>IF(가정!$C$25="Y",가정!$C$24,G47*가정!$C$16)</f>
        <v/>
      </c>
      <c r="P47" s="9">
        <f>(G47*K47)+(H47*가정!$C$15)</f>
        <v/>
      </c>
      <c r="Q47" s="9">
        <f>IF(가정!$C$5="간이과세",(G47+H47)*0.015,(G47+H47)/11-((L47+M47+N47+P47)/11)-IF(가정!$C$11="정식통관",I47*가정!$C$12,0))</f>
        <v/>
      </c>
      <c r="R47" s="9">
        <f>G47+H47-I47-L47-M47-N47-P47-Q47</f>
        <v/>
      </c>
      <c r="S47" s="9">
        <f>MAX(0,R47)*가정!$C$7</f>
        <v/>
      </c>
      <c r="T47" s="9">
        <f>G47*가정!$C$17</f>
        <v/>
      </c>
      <c r="U47" s="9">
        <f>R47-S47-T47</f>
        <v/>
      </c>
      <c r="V47" s="12">
        <f>IF(G47=0,"",U47/G47)</f>
        <v/>
      </c>
      <c r="X47" s="7" t="n"/>
      <c r="Y47" s="7" t="n"/>
      <c r="Z47" s="7" t="n"/>
      <c r="AA47" s="13" t="n"/>
      <c r="AB47" s="13" t="n"/>
      <c r="AC47" s="14" t="n"/>
      <c r="AD47" s="14" t="n"/>
      <c r="AE47" s="13" t="n"/>
      <c r="AF47" s="15">
        <f>IF((1-K47-가정!$C$16-가정!$C$17-가정!$C$27-1/11)&lt;=0,"",IFERROR((I47+L47+M47)/(1-K47-가정!$C$16-가정!$C$17-가정!$C$27-1/11),""))</f>
        <v/>
      </c>
      <c r="AG47" s="15">
        <f>IF(OR(AA47="",AF47=""),"",AA47-AF47)</f>
        <v/>
      </c>
      <c r="AH47" s="16">
        <f>IF(G47="","",IFERROR((IF(AE47="",0,가정!$C$31*MIN(1,LOG(AE47+1)/LOG(가정!$C$30)))+IF(AB47="",0,가정!$C$32*(MAX(0,1-AB47/가정!$C$29)*0.6+AC47*0.4))+IF(AD47="",0,가정!$C$33*MAX(0,1-AD47))+IF(V47="",0,가정!$C$34*MIN(1,MAX(0,(V47-가정!$C$27)/(가정!$C$28-가정!$C$27)))))/(IF(AE47="",0,가정!$C$31)+IF(AB47="",0,가정!$C$32)+IF(AD47="",0,가정!$C$33)+IF(V47="",0,가정!$C$34))*100,""))</f>
        <v/>
      </c>
      <c r="AI47" s="17">
        <f>IF(AH47="","",IF(U47&lt;=0,"역마진",IF(AH47&gt;=가정!$C$35,"GO",IF(AH47&gt;=가정!$C$36,"검토","SKIP"))))</f>
        <v/>
      </c>
    </row>
    <row r="48">
      <c r="B48" s="6" t="n">
        <v>41</v>
      </c>
      <c r="C48" s="7" t="n"/>
      <c r="E48" s="7" t="n"/>
      <c r="F48" s="7" t="n"/>
      <c r="G48" s="8" t="n"/>
      <c r="H48" s="8" t="n">
        <v>0</v>
      </c>
      <c r="I48" s="9">
        <f>J48*가정!$C$10</f>
        <v/>
      </c>
      <c r="J48" s="10" t="n"/>
      <c r="K48" s="11">
        <f>가정!$C$14</f>
        <v/>
      </c>
      <c r="L48" s="8" t="n"/>
      <c r="M48" s="8" t="n"/>
      <c r="N48" s="9">
        <f>IF(가정!$C$25="Y",가정!$C$24,G48*가정!$C$16)</f>
        <v/>
      </c>
      <c r="P48" s="9">
        <f>(G48*K48)+(H48*가정!$C$15)</f>
        <v/>
      </c>
      <c r="Q48" s="9">
        <f>IF(가정!$C$5="간이과세",(G48+H48)*0.015,(G48+H48)/11-((L48+M48+N48+P48)/11)-IF(가정!$C$11="정식통관",I48*가정!$C$12,0))</f>
        <v/>
      </c>
      <c r="R48" s="9">
        <f>G48+H48-I48-L48-M48-N48-P48-Q48</f>
        <v/>
      </c>
      <c r="S48" s="9">
        <f>MAX(0,R48)*가정!$C$7</f>
        <v/>
      </c>
      <c r="T48" s="9">
        <f>G48*가정!$C$17</f>
        <v/>
      </c>
      <c r="U48" s="9">
        <f>R48-S48-T48</f>
        <v/>
      </c>
      <c r="V48" s="12">
        <f>IF(G48=0,"",U48/G48)</f>
        <v/>
      </c>
      <c r="X48" s="7" t="n"/>
      <c r="Y48" s="7" t="n"/>
      <c r="Z48" s="7" t="n"/>
      <c r="AA48" s="13" t="n"/>
      <c r="AB48" s="13" t="n"/>
      <c r="AC48" s="14" t="n"/>
      <c r="AD48" s="14" t="n"/>
      <c r="AE48" s="13" t="n"/>
      <c r="AF48" s="15">
        <f>IF((1-K48-가정!$C$16-가정!$C$17-가정!$C$27-1/11)&lt;=0,"",IFERROR((I48+L48+M48)/(1-K48-가정!$C$16-가정!$C$17-가정!$C$27-1/11),""))</f>
        <v/>
      </c>
      <c r="AG48" s="15">
        <f>IF(OR(AA48="",AF48=""),"",AA48-AF48)</f>
        <v/>
      </c>
      <c r="AH48" s="16">
        <f>IF(G48="","",IFERROR((IF(AE48="",0,가정!$C$31*MIN(1,LOG(AE48+1)/LOG(가정!$C$30)))+IF(AB48="",0,가정!$C$32*(MAX(0,1-AB48/가정!$C$29)*0.6+AC48*0.4))+IF(AD48="",0,가정!$C$33*MAX(0,1-AD48))+IF(V48="",0,가정!$C$34*MIN(1,MAX(0,(V48-가정!$C$27)/(가정!$C$28-가정!$C$27)))))/(IF(AE48="",0,가정!$C$31)+IF(AB48="",0,가정!$C$32)+IF(AD48="",0,가정!$C$33)+IF(V48="",0,가정!$C$34))*100,""))</f>
        <v/>
      </c>
      <c r="AI48" s="17">
        <f>IF(AH48="","",IF(U48&lt;=0,"역마진",IF(AH48&gt;=가정!$C$35,"GO",IF(AH48&gt;=가정!$C$36,"검토","SKIP"))))</f>
        <v/>
      </c>
    </row>
    <row r="49">
      <c r="B49" s="6" t="n">
        <v>42</v>
      </c>
      <c r="C49" s="7" t="n"/>
      <c r="E49" s="7" t="n"/>
      <c r="F49" s="7" t="n"/>
      <c r="G49" s="8" t="n"/>
      <c r="H49" s="8" t="n">
        <v>0</v>
      </c>
      <c r="I49" s="9">
        <f>J49*가정!$C$10</f>
        <v/>
      </c>
      <c r="J49" s="10" t="n"/>
      <c r="K49" s="11">
        <f>가정!$C$14</f>
        <v/>
      </c>
      <c r="L49" s="8" t="n"/>
      <c r="M49" s="8" t="n"/>
      <c r="N49" s="9">
        <f>IF(가정!$C$25="Y",가정!$C$24,G49*가정!$C$16)</f>
        <v/>
      </c>
      <c r="P49" s="9">
        <f>(G49*K49)+(H49*가정!$C$15)</f>
        <v/>
      </c>
      <c r="Q49" s="9">
        <f>IF(가정!$C$5="간이과세",(G49+H49)*0.015,(G49+H49)/11-((L49+M49+N49+P49)/11)-IF(가정!$C$11="정식통관",I49*가정!$C$12,0))</f>
        <v/>
      </c>
      <c r="R49" s="9">
        <f>G49+H49-I49-L49-M49-N49-P49-Q49</f>
        <v/>
      </c>
      <c r="S49" s="9">
        <f>MAX(0,R49)*가정!$C$7</f>
        <v/>
      </c>
      <c r="T49" s="9">
        <f>G49*가정!$C$17</f>
        <v/>
      </c>
      <c r="U49" s="9">
        <f>R49-S49-T49</f>
        <v/>
      </c>
      <c r="V49" s="12">
        <f>IF(G49=0,"",U49/G49)</f>
        <v/>
      </c>
      <c r="X49" s="7" t="n"/>
      <c r="Y49" s="7" t="n"/>
      <c r="Z49" s="7" t="n"/>
      <c r="AA49" s="13" t="n"/>
      <c r="AB49" s="13" t="n"/>
      <c r="AC49" s="14" t="n"/>
      <c r="AD49" s="14" t="n"/>
      <c r="AE49" s="13" t="n"/>
      <c r="AF49" s="15">
        <f>IF((1-K49-가정!$C$16-가정!$C$17-가정!$C$27-1/11)&lt;=0,"",IFERROR((I49+L49+M49)/(1-K49-가정!$C$16-가정!$C$17-가정!$C$27-1/11),""))</f>
        <v/>
      </c>
      <c r="AG49" s="15">
        <f>IF(OR(AA49="",AF49=""),"",AA49-AF49)</f>
        <v/>
      </c>
      <c r="AH49" s="16">
        <f>IF(G49="","",IFERROR((IF(AE49="",0,가정!$C$31*MIN(1,LOG(AE49+1)/LOG(가정!$C$30)))+IF(AB49="",0,가정!$C$32*(MAX(0,1-AB49/가정!$C$29)*0.6+AC49*0.4))+IF(AD49="",0,가정!$C$33*MAX(0,1-AD49))+IF(V49="",0,가정!$C$34*MIN(1,MAX(0,(V49-가정!$C$27)/(가정!$C$28-가정!$C$27)))))/(IF(AE49="",0,가정!$C$31)+IF(AB49="",0,가정!$C$32)+IF(AD49="",0,가정!$C$33)+IF(V49="",0,가정!$C$34))*100,""))</f>
        <v/>
      </c>
      <c r="AI49" s="17">
        <f>IF(AH49="","",IF(U49&lt;=0,"역마진",IF(AH49&gt;=가정!$C$35,"GO",IF(AH49&gt;=가정!$C$36,"검토","SKIP"))))</f>
        <v/>
      </c>
    </row>
    <row r="50">
      <c r="B50" s="6" t="n">
        <v>43</v>
      </c>
      <c r="C50" s="7" t="n"/>
      <c r="E50" s="7" t="n"/>
      <c r="F50" s="7" t="n"/>
      <c r="G50" s="8" t="n"/>
      <c r="H50" s="8" t="n">
        <v>0</v>
      </c>
      <c r="I50" s="9">
        <f>J50*가정!$C$10</f>
        <v/>
      </c>
      <c r="J50" s="10" t="n"/>
      <c r="K50" s="11">
        <f>가정!$C$14</f>
        <v/>
      </c>
      <c r="L50" s="8" t="n"/>
      <c r="M50" s="8" t="n"/>
      <c r="N50" s="9">
        <f>IF(가정!$C$25="Y",가정!$C$24,G50*가정!$C$16)</f>
        <v/>
      </c>
      <c r="P50" s="9">
        <f>(G50*K50)+(H50*가정!$C$15)</f>
        <v/>
      </c>
      <c r="Q50" s="9">
        <f>IF(가정!$C$5="간이과세",(G50+H50)*0.015,(G50+H50)/11-((L50+M50+N50+P50)/11)-IF(가정!$C$11="정식통관",I50*가정!$C$12,0))</f>
        <v/>
      </c>
      <c r="R50" s="9">
        <f>G50+H50-I50-L50-M50-N50-P50-Q50</f>
        <v/>
      </c>
      <c r="S50" s="9">
        <f>MAX(0,R50)*가정!$C$7</f>
        <v/>
      </c>
      <c r="T50" s="9">
        <f>G50*가정!$C$17</f>
        <v/>
      </c>
      <c r="U50" s="9">
        <f>R50-S50-T50</f>
        <v/>
      </c>
      <c r="V50" s="12">
        <f>IF(G50=0,"",U50/G50)</f>
        <v/>
      </c>
      <c r="X50" s="7" t="n"/>
      <c r="Y50" s="7" t="n"/>
      <c r="Z50" s="7" t="n"/>
      <c r="AA50" s="13" t="n"/>
      <c r="AB50" s="13" t="n"/>
      <c r="AC50" s="14" t="n"/>
      <c r="AD50" s="14" t="n"/>
      <c r="AE50" s="13" t="n"/>
      <c r="AF50" s="15">
        <f>IF((1-K50-가정!$C$16-가정!$C$17-가정!$C$27-1/11)&lt;=0,"",IFERROR((I50+L50+M50)/(1-K50-가정!$C$16-가정!$C$17-가정!$C$27-1/11),""))</f>
        <v/>
      </c>
      <c r="AG50" s="15">
        <f>IF(OR(AA50="",AF50=""),"",AA50-AF50)</f>
        <v/>
      </c>
      <c r="AH50" s="16">
        <f>IF(G50="","",IFERROR((IF(AE50="",0,가정!$C$31*MIN(1,LOG(AE50+1)/LOG(가정!$C$30)))+IF(AB50="",0,가정!$C$32*(MAX(0,1-AB50/가정!$C$29)*0.6+AC50*0.4))+IF(AD50="",0,가정!$C$33*MAX(0,1-AD50))+IF(V50="",0,가정!$C$34*MIN(1,MAX(0,(V50-가정!$C$27)/(가정!$C$28-가정!$C$27)))))/(IF(AE50="",0,가정!$C$31)+IF(AB50="",0,가정!$C$32)+IF(AD50="",0,가정!$C$33)+IF(V50="",0,가정!$C$34))*100,""))</f>
        <v/>
      </c>
      <c r="AI50" s="17">
        <f>IF(AH50="","",IF(U50&lt;=0,"역마진",IF(AH50&gt;=가정!$C$35,"GO",IF(AH50&gt;=가정!$C$36,"검토","SKIP"))))</f>
        <v/>
      </c>
    </row>
    <row r="51">
      <c r="B51" s="6" t="n">
        <v>44</v>
      </c>
      <c r="C51" s="7" t="n"/>
      <c r="E51" s="7" t="n"/>
      <c r="F51" s="7" t="n"/>
      <c r="G51" s="8" t="n"/>
      <c r="H51" s="8" t="n">
        <v>0</v>
      </c>
      <c r="I51" s="9">
        <f>J51*가정!$C$10</f>
        <v/>
      </c>
      <c r="J51" s="10" t="n"/>
      <c r="K51" s="11">
        <f>가정!$C$14</f>
        <v/>
      </c>
      <c r="L51" s="8" t="n"/>
      <c r="M51" s="8" t="n"/>
      <c r="N51" s="9">
        <f>IF(가정!$C$25="Y",가정!$C$24,G51*가정!$C$16)</f>
        <v/>
      </c>
      <c r="P51" s="9">
        <f>(G51*K51)+(H51*가정!$C$15)</f>
        <v/>
      </c>
      <c r="Q51" s="9">
        <f>IF(가정!$C$5="간이과세",(G51+H51)*0.015,(G51+H51)/11-((L51+M51+N51+P51)/11)-IF(가정!$C$11="정식통관",I51*가정!$C$12,0))</f>
        <v/>
      </c>
      <c r="R51" s="9">
        <f>G51+H51-I51-L51-M51-N51-P51-Q51</f>
        <v/>
      </c>
      <c r="S51" s="9">
        <f>MAX(0,R51)*가정!$C$7</f>
        <v/>
      </c>
      <c r="T51" s="9">
        <f>G51*가정!$C$17</f>
        <v/>
      </c>
      <c r="U51" s="9">
        <f>R51-S51-T51</f>
        <v/>
      </c>
      <c r="V51" s="12">
        <f>IF(G51=0,"",U51/G51)</f>
        <v/>
      </c>
      <c r="X51" s="7" t="n"/>
      <c r="Y51" s="7" t="n"/>
      <c r="Z51" s="7" t="n"/>
      <c r="AA51" s="13" t="n"/>
      <c r="AB51" s="13" t="n"/>
      <c r="AC51" s="14" t="n"/>
      <c r="AD51" s="14" t="n"/>
      <c r="AE51" s="13" t="n"/>
      <c r="AF51" s="15">
        <f>IF((1-K51-가정!$C$16-가정!$C$17-가정!$C$27-1/11)&lt;=0,"",IFERROR((I51+L51+M51)/(1-K51-가정!$C$16-가정!$C$17-가정!$C$27-1/11),""))</f>
        <v/>
      </c>
      <c r="AG51" s="15">
        <f>IF(OR(AA51="",AF51=""),"",AA51-AF51)</f>
        <v/>
      </c>
      <c r="AH51" s="16">
        <f>IF(G51="","",IFERROR((IF(AE51="",0,가정!$C$31*MIN(1,LOG(AE51+1)/LOG(가정!$C$30)))+IF(AB51="",0,가정!$C$32*(MAX(0,1-AB51/가정!$C$29)*0.6+AC51*0.4))+IF(AD51="",0,가정!$C$33*MAX(0,1-AD51))+IF(V51="",0,가정!$C$34*MIN(1,MAX(0,(V51-가정!$C$27)/(가정!$C$28-가정!$C$27)))))/(IF(AE51="",0,가정!$C$31)+IF(AB51="",0,가정!$C$32)+IF(AD51="",0,가정!$C$33)+IF(V51="",0,가정!$C$34))*100,""))</f>
        <v/>
      </c>
      <c r="AI51" s="17">
        <f>IF(AH51="","",IF(U51&lt;=0,"역마진",IF(AH51&gt;=가정!$C$35,"GO",IF(AH51&gt;=가정!$C$36,"검토","SKIP"))))</f>
        <v/>
      </c>
    </row>
    <row r="52">
      <c r="B52" s="6" t="n">
        <v>45</v>
      </c>
      <c r="C52" s="7" t="n"/>
      <c r="E52" s="7" t="n"/>
      <c r="F52" s="7" t="n"/>
      <c r="G52" s="8" t="n"/>
      <c r="H52" s="8" t="n">
        <v>0</v>
      </c>
      <c r="I52" s="9">
        <f>J52*가정!$C$10</f>
        <v/>
      </c>
      <c r="J52" s="10" t="n"/>
      <c r="K52" s="11">
        <f>가정!$C$14</f>
        <v/>
      </c>
      <c r="L52" s="8" t="n"/>
      <c r="M52" s="8" t="n"/>
      <c r="N52" s="9">
        <f>IF(가정!$C$25="Y",가정!$C$24,G52*가정!$C$16)</f>
        <v/>
      </c>
      <c r="P52" s="9">
        <f>(G52*K52)+(H52*가정!$C$15)</f>
        <v/>
      </c>
      <c r="Q52" s="9">
        <f>IF(가정!$C$5="간이과세",(G52+H52)*0.015,(G52+H52)/11-((L52+M52+N52+P52)/11)-IF(가정!$C$11="정식통관",I52*가정!$C$12,0))</f>
        <v/>
      </c>
      <c r="R52" s="9">
        <f>G52+H52-I52-L52-M52-N52-P52-Q52</f>
        <v/>
      </c>
      <c r="S52" s="9">
        <f>MAX(0,R52)*가정!$C$7</f>
        <v/>
      </c>
      <c r="T52" s="9">
        <f>G52*가정!$C$17</f>
        <v/>
      </c>
      <c r="U52" s="9">
        <f>R52-S52-T52</f>
        <v/>
      </c>
      <c r="V52" s="12">
        <f>IF(G52=0,"",U52/G52)</f>
        <v/>
      </c>
      <c r="X52" s="7" t="n"/>
      <c r="Y52" s="7" t="n"/>
      <c r="Z52" s="7" t="n"/>
      <c r="AA52" s="13" t="n"/>
      <c r="AB52" s="13" t="n"/>
      <c r="AC52" s="14" t="n"/>
      <c r="AD52" s="14" t="n"/>
      <c r="AE52" s="13" t="n"/>
      <c r="AF52" s="15">
        <f>IF((1-K52-가정!$C$16-가정!$C$17-가정!$C$27-1/11)&lt;=0,"",IFERROR((I52+L52+M52)/(1-K52-가정!$C$16-가정!$C$17-가정!$C$27-1/11),""))</f>
        <v/>
      </c>
      <c r="AG52" s="15">
        <f>IF(OR(AA52="",AF52=""),"",AA52-AF52)</f>
        <v/>
      </c>
      <c r="AH52" s="16">
        <f>IF(G52="","",IFERROR((IF(AE52="",0,가정!$C$31*MIN(1,LOG(AE52+1)/LOG(가정!$C$30)))+IF(AB52="",0,가정!$C$32*(MAX(0,1-AB52/가정!$C$29)*0.6+AC52*0.4))+IF(AD52="",0,가정!$C$33*MAX(0,1-AD52))+IF(V52="",0,가정!$C$34*MIN(1,MAX(0,(V52-가정!$C$27)/(가정!$C$28-가정!$C$27)))))/(IF(AE52="",0,가정!$C$31)+IF(AB52="",0,가정!$C$32)+IF(AD52="",0,가정!$C$33)+IF(V52="",0,가정!$C$34))*100,""))</f>
        <v/>
      </c>
      <c r="AI52" s="17">
        <f>IF(AH52="","",IF(U52&lt;=0,"역마진",IF(AH52&gt;=가정!$C$35,"GO",IF(AH52&gt;=가정!$C$36,"검토","SKIP"))))</f>
        <v/>
      </c>
    </row>
    <row r="53">
      <c r="B53" s="6" t="n">
        <v>46</v>
      </c>
      <c r="C53" s="7" t="n"/>
      <c r="E53" s="7" t="n"/>
      <c r="F53" s="7" t="n"/>
      <c r="G53" s="8" t="n"/>
      <c r="H53" s="8" t="n">
        <v>0</v>
      </c>
      <c r="I53" s="9">
        <f>J53*가정!$C$10</f>
        <v/>
      </c>
      <c r="J53" s="10" t="n"/>
      <c r="K53" s="11">
        <f>가정!$C$14</f>
        <v/>
      </c>
      <c r="L53" s="8" t="n"/>
      <c r="M53" s="8" t="n"/>
      <c r="N53" s="9">
        <f>IF(가정!$C$25="Y",가정!$C$24,G53*가정!$C$16)</f>
        <v/>
      </c>
      <c r="P53" s="9">
        <f>(G53*K53)+(H53*가정!$C$15)</f>
        <v/>
      </c>
      <c r="Q53" s="9">
        <f>IF(가정!$C$5="간이과세",(G53+H53)*0.015,(G53+H53)/11-((L53+M53+N53+P53)/11)-IF(가정!$C$11="정식통관",I53*가정!$C$12,0))</f>
        <v/>
      </c>
      <c r="R53" s="9">
        <f>G53+H53-I53-L53-M53-N53-P53-Q53</f>
        <v/>
      </c>
      <c r="S53" s="9">
        <f>MAX(0,R53)*가정!$C$7</f>
        <v/>
      </c>
      <c r="T53" s="9">
        <f>G53*가정!$C$17</f>
        <v/>
      </c>
      <c r="U53" s="9">
        <f>R53-S53-T53</f>
        <v/>
      </c>
      <c r="V53" s="12">
        <f>IF(G53=0,"",U53/G53)</f>
        <v/>
      </c>
      <c r="X53" s="7" t="n"/>
      <c r="Y53" s="7" t="n"/>
      <c r="Z53" s="7" t="n"/>
      <c r="AA53" s="13" t="n"/>
      <c r="AB53" s="13" t="n"/>
      <c r="AC53" s="14" t="n"/>
      <c r="AD53" s="14" t="n"/>
      <c r="AE53" s="13" t="n"/>
      <c r="AF53" s="15">
        <f>IF((1-K53-가정!$C$16-가정!$C$17-가정!$C$27-1/11)&lt;=0,"",IFERROR((I53+L53+M53)/(1-K53-가정!$C$16-가정!$C$17-가정!$C$27-1/11),""))</f>
        <v/>
      </c>
      <c r="AG53" s="15">
        <f>IF(OR(AA53="",AF53=""),"",AA53-AF53)</f>
        <v/>
      </c>
      <c r="AH53" s="16">
        <f>IF(G53="","",IFERROR((IF(AE53="",0,가정!$C$31*MIN(1,LOG(AE53+1)/LOG(가정!$C$30)))+IF(AB53="",0,가정!$C$32*(MAX(0,1-AB53/가정!$C$29)*0.6+AC53*0.4))+IF(AD53="",0,가정!$C$33*MAX(0,1-AD53))+IF(V53="",0,가정!$C$34*MIN(1,MAX(0,(V53-가정!$C$27)/(가정!$C$28-가정!$C$27)))))/(IF(AE53="",0,가정!$C$31)+IF(AB53="",0,가정!$C$32)+IF(AD53="",0,가정!$C$33)+IF(V53="",0,가정!$C$34))*100,""))</f>
        <v/>
      </c>
      <c r="AI53" s="17">
        <f>IF(AH53="","",IF(U53&lt;=0,"역마진",IF(AH53&gt;=가정!$C$35,"GO",IF(AH53&gt;=가정!$C$36,"검토","SKIP"))))</f>
        <v/>
      </c>
    </row>
    <row r="54">
      <c r="B54" s="6" t="n">
        <v>47</v>
      </c>
      <c r="C54" s="7" t="n"/>
      <c r="E54" s="7" t="n"/>
      <c r="F54" s="7" t="n"/>
      <c r="G54" s="8" t="n"/>
      <c r="H54" s="8" t="n">
        <v>0</v>
      </c>
      <c r="I54" s="9">
        <f>J54*가정!$C$10</f>
        <v/>
      </c>
      <c r="J54" s="10" t="n"/>
      <c r="K54" s="11">
        <f>가정!$C$14</f>
        <v/>
      </c>
      <c r="L54" s="8" t="n"/>
      <c r="M54" s="8" t="n"/>
      <c r="N54" s="9">
        <f>IF(가정!$C$25="Y",가정!$C$24,G54*가정!$C$16)</f>
        <v/>
      </c>
      <c r="P54" s="9">
        <f>(G54*K54)+(H54*가정!$C$15)</f>
        <v/>
      </c>
      <c r="Q54" s="9">
        <f>IF(가정!$C$5="간이과세",(G54+H54)*0.015,(G54+H54)/11-((L54+M54+N54+P54)/11)-IF(가정!$C$11="정식통관",I54*가정!$C$12,0))</f>
        <v/>
      </c>
      <c r="R54" s="9">
        <f>G54+H54-I54-L54-M54-N54-P54-Q54</f>
        <v/>
      </c>
      <c r="S54" s="9">
        <f>MAX(0,R54)*가정!$C$7</f>
        <v/>
      </c>
      <c r="T54" s="9">
        <f>G54*가정!$C$17</f>
        <v/>
      </c>
      <c r="U54" s="9">
        <f>R54-S54-T54</f>
        <v/>
      </c>
      <c r="V54" s="12">
        <f>IF(G54=0,"",U54/G54)</f>
        <v/>
      </c>
      <c r="X54" s="7" t="n"/>
      <c r="Y54" s="7" t="n"/>
      <c r="Z54" s="7" t="n"/>
      <c r="AA54" s="13" t="n"/>
      <c r="AB54" s="13" t="n"/>
      <c r="AC54" s="14" t="n"/>
      <c r="AD54" s="14" t="n"/>
      <c r="AE54" s="13" t="n"/>
      <c r="AF54" s="15">
        <f>IF((1-K54-가정!$C$16-가정!$C$17-가정!$C$27-1/11)&lt;=0,"",IFERROR((I54+L54+M54)/(1-K54-가정!$C$16-가정!$C$17-가정!$C$27-1/11),""))</f>
        <v/>
      </c>
      <c r="AG54" s="15">
        <f>IF(OR(AA54="",AF54=""),"",AA54-AF54)</f>
        <v/>
      </c>
      <c r="AH54" s="16">
        <f>IF(G54="","",IFERROR((IF(AE54="",0,가정!$C$31*MIN(1,LOG(AE54+1)/LOG(가정!$C$30)))+IF(AB54="",0,가정!$C$32*(MAX(0,1-AB54/가정!$C$29)*0.6+AC54*0.4))+IF(AD54="",0,가정!$C$33*MAX(0,1-AD54))+IF(V54="",0,가정!$C$34*MIN(1,MAX(0,(V54-가정!$C$27)/(가정!$C$28-가정!$C$27)))))/(IF(AE54="",0,가정!$C$31)+IF(AB54="",0,가정!$C$32)+IF(AD54="",0,가정!$C$33)+IF(V54="",0,가정!$C$34))*100,""))</f>
        <v/>
      </c>
      <c r="AI54" s="17">
        <f>IF(AH54="","",IF(U54&lt;=0,"역마진",IF(AH54&gt;=가정!$C$35,"GO",IF(AH54&gt;=가정!$C$36,"검토","SKIP"))))</f>
        <v/>
      </c>
    </row>
    <row r="55">
      <c r="B55" s="6" t="n">
        <v>48</v>
      </c>
      <c r="C55" s="7" t="n"/>
      <c r="E55" s="7" t="n"/>
      <c r="F55" s="7" t="n"/>
      <c r="G55" s="8" t="n"/>
      <c r="H55" s="8" t="n">
        <v>0</v>
      </c>
      <c r="I55" s="9">
        <f>J55*가정!$C$10</f>
        <v/>
      </c>
      <c r="J55" s="10" t="n"/>
      <c r="K55" s="11">
        <f>가정!$C$14</f>
        <v/>
      </c>
      <c r="L55" s="8" t="n"/>
      <c r="M55" s="8" t="n"/>
      <c r="N55" s="9">
        <f>IF(가정!$C$25="Y",가정!$C$24,G55*가정!$C$16)</f>
        <v/>
      </c>
      <c r="P55" s="9">
        <f>(G55*K55)+(H55*가정!$C$15)</f>
        <v/>
      </c>
      <c r="Q55" s="9">
        <f>IF(가정!$C$5="간이과세",(G55+H55)*0.015,(G55+H55)/11-((L55+M55+N55+P55)/11)-IF(가정!$C$11="정식통관",I55*가정!$C$12,0))</f>
        <v/>
      </c>
      <c r="R55" s="9">
        <f>G55+H55-I55-L55-M55-N55-P55-Q55</f>
        <v/>
      </c>
      <c r="S55" s="9">
        <f>MAX(0,R55)*가정!$C$7</f>
        <v/>
      </c>
      <c r="T55" s="9">
        <f>G55*가정!$C$17</f>
        <v/>
      </c>
      <c r="U55" s="9">
        <f>R55-S55-T55</f>
        <v/>
      </c>
      <c r="V55" s="12">
        <f>IF(G55=0,"",U55/G55)</f>
        <v/>
      </c>
      <c r="X55" s="7" t="n"/>
      <c r="Y55" s="7" t="n"/>
      <c r="Z55" s="7" t="n"/>
      <c r="AA55" s="13" t="n"/>
      <c r="AB55" s="13" t="n"/>
      <c r="AC55" s="14" t="n"/>
      <c r="AD55" s="14" t="n"/>
      <c r="AE55" s="13" t="n"/>
      <c r="AF55" s="15">
        <f>IF((1-K55-가정!$C$16-가정!$C$17-가정!$C$27-1/11)&lt;=0,"",IFERROR((I55+L55+M55)/(1-K55-가정!$C$16-가정!$C$17-가정!$C$27-1/11),""))</f>
        <v/>
      </c>
      <c r="AG55" s="15">
        <f>IF(OR(AA55="",AF55=""),"",AA55-AF55)</f>
        <v/>
      </c>
      <c r="AH55" s="16">
        <f>IF(G55="","",IFERROR((IF(AE55="",0,가정!$C$31*MIN(1,LOG(AE55+1)/LOG(가정!$C$30)))+IF(AB55="",0,가정!$C$32*(MAX(0,1-AB55/가정!$C$29)*0.6+AC55*0.4))+IF(AD55="",0,가정!$C$33*MAX(0,1-AD55))+IF(V55="",0,가정!$C$34*MIN(1,MAX(0,(V55-가정!$C$27)/(가정!$C$28-가정!$C$27)))))/(IF(AE55="",0,가정!$C$31)+IF(AB55="",0,가정!$C$32)+IF(AD55="",0,가정!$C$33)+IF(V55="",0,가정!$C$34))*100,""))</f>
        <v/>
      </c>
      <c r="AI55" s="17">
        <f>IF(AH55="","",IF(U55&lt;=0,"역마진",IF(AH55&gt;=가정!$C$35,"GO",IF(AH55&gt;=가정!$C$36,"검토","SKIP"))))</f>
        <v/>
      </c>
    </row>
    <row r="56">
      <c r="B56" s="6" t="n">
        <v>49</v>
      </c>
      <c r="C56" s="7" t="n"/>
      <c r="E56" s="7" t="n"/>
      <c r="F56" s="7" t="n"/>
      <c r="G56" s="8" t="n"/>
      <c r="H56" s="8" t="n">
        <v>0</v>
      </c>
      <c r="I56" s="9">
        <f>J56*가정!$C$10</f>
        <v/>
      </c>
      <c r="J56" s="10" t="n"/>
      <c r="K56" s="11">
        <f>가정!$C$14</f>
        <v/>
      </c>
      <c r="L56" s="8" t="n"/>
      <c r="M56" s="8" t="n"/>
      <c r="N56" s="9">
        <f>IF(가정!$C$25="Y",가정!$C$24,G56*가정!$C$16)</f>
        <v/>
      </c>
      <c r="P56" s="9">
        <f>(G56*K56)+(H56*가정!$C$15)</f>
        <v/>
      </c>
      <c r="Q56" s="9">
        <f>IF(가정!$C$5="간이과세",(G56+H56)*0.015,(G56+H56)/11-((L56+M56+N56+P56)/11)-IF(가정!$C$11="정식통관",I56*가정!$C$12,0))</f>
        <v/>
      </c>
      <c r="R56" s="9">
        <f>G56+H56-I56-L56-M56-N56-P56-Q56</f>
        <v/>
      </c>
      <c r="S56" s="9">
        <f>MAX(0,R56)*가정!$C$7</f>
        <v/>
      </c>
      <c r="T56" s="9">
        <f>G56*가정!$C$17</f>
        <v/>
      </c>
      <c r="U56" s="9">
        <f>R56-S56-T56</f>
        <v/>
      </c>
      <c r="V56" s="12">
        <f>IF(G56=0,"",U56/G56)</f>
        <v/>
      </c>
      <c r="X56" s="7" t="n"/>
      <c r="Y56" s="7" t="n"/>
      <c r="Z56" s="7" t="n"/>
      <c r="AA56" s="13" t="n"/>
      <c r="AB56" s="13" t="n"/>
      <c r="AC56" s="14" t="n"/>
      <c r="AD56" s="14" t="n"/>
      <c r="AE56" s="13" t="n"/>
      <c r="AF56" s="15">
        <f>IF((1-K56-가정!$C$16-가정!$C$17-가정!$C$27-1/11)&lt;=0,"",IFERROR((I56+L56+M56)/(1-K56-가정!$C$16-가정!$C$17-가정!$C$27-1/11),""))</f>
        <v/>
      </c>
      <c r="AG56" s="15">
        <f>IF(OR(AA56="",AF56=""),"",AA56-AF56)</f>
        <v/>
      </c>
      <c r="AH56" s="16">
        <f>IF(G56="","",IFERROR((IF(AE56="",0,가정!$C$31*MIN(1,LOG(AE56+1)/LOG(가정!$C$30)))+IF(AB56="",0,가정!$C$32*(MAX(0,1-AB56/가정!$C$29)*0.6+AC56*0.4))+IF(AD56="",0,가정!$C$33*MAX(0,1-AD56))+IF(V56="",0,가정!$C$34*MIN(1,MAX(0,(V56-가정!$C$27)/(가정!$C$28-가정!$C$27)))))/(IF(AE56="",0,가정!$C$31)+IF(AB56="",0,가정!$C$32)+IF(AD56="",0,가정!$C$33)+IF(V56="",0,가정!$C$34))*100,""))</f>
        <v/>
      </c>
      <c r="AI56" s="17">
        <f>IF(AH56="","",IF(U56&lt;=0,"역마진",IF(AH56&gt;=가정!$C$35,"GO",IF(AH56&gt;=가정!$C$36,"검토","SKIP"))))</f>
        <v/>
      </c>
    </row>
    <row r="57">
      <c r="B57" s="6" t="n">
        <v>50</v>
      </c>
      <c r="C57" s="7" t="n"/>
      <c r="E57" s="7" t="n"/>
      <c r="F57" s="7" t="n"/>
      <c r="G57" s="8" t="n"/>
      <c r="H57" s="8" t="n">
        <v>0</v>
      </c>
      <c r="I57" s="9">
        <f>J57*가정!$C$10</f>
        <v/>
      </c>
      <c r="J57" s="10" t="n"/>
      <c r="K57" s="11">
        <f>가정!$C$14</f>
        <v/>
      </c>
      <c r="L57" s="8" t="n"/>
      <c r="M57" s="8" t="n"/>
      <c r="N57" s="9">
        <f>IF(가정!$C$25="Y",가정!$C$24,G57*가정!$C$16)</f>
        <v/>
      </c>
      <c r="P57" s="9">
        <f>(G57*K57)+(H57*가정!$C$15)</f>
        <v/>
      </c>
      <c r="Q57" s="9">
        <f>IF(가정!$C$5="간이과세",(G57+H57)*0.015,(G57+H57)/11-((L57+M57+N57+P57)/11)-IF(가정!$C$11="정식통관",I57*가정!$C$12,0))</f>
        <v/>
      </c>
      <c r="R57" s="9">
        <f>G57+H57-I57-L57-M57-N57-P57-Q57</f>
        <v/>
      </c>
      <c r="S57" s="9">
        <f>MAX(0,R57)*가정!$C$7</f>
        <v/>
      </c>
      <c r="T57" s="9">
        <f>G57*가정!$C$17</f>
        <v/>
      </c>
      <c r="U57" s="9">
        <f>R57-S57-T57</f>
        <v/>
      </c>
      <c r="V57" s="12">
        <f>IF(G57=0,"",U57/G57)</f>
        <v/>
      </c>
      <c r="X57" s="7" t="n"/>
      <c r="Y57" s="7" t="n"/>
      <c r="Z57" s="7" t="n"/>
      <c r="AA57" s="13" t="n"/>
      <c r="AB57" s="13" t="n"/>
      <c r="AC57" s="14" t="n"/>
      <c r="AD57" s="14" t="n"/>
      <c r="AE57" s="13" t="n"/>
      <c r="AF57" s="15">
        <f>IF((1-K57-가정!$C$16-가정!$C$17-가정!$C$27-1/11)&lt;=0,"",IFERROR((I57+L57+M57)/(1-K57-가정!$C$16-가정!$C$17-가정!$C$27-1/11),""))</f>
        <v/>
      </c>
      <c r="AG57" s="15">
        <f>IF(OR(AA57="",AF57=""),"",AA57-AF57)</f>
        <v/>
      </c>
      <c r="AH57" s="16">
        <f>IF(G57="","",IFERROR((IF(AE57="",0,가정!$C$31*MIN(1,LOG(AE57+1)/LOG(가정!$C$30)))+IF(AB57="",0,가정!$C$32*(MAX(0,1-AB57/가정!$C$29)*0.6+AC57*0.4))+IF(AD57="",0,가정!$C$33*MAX(0,1-AD57))+IF(V57="",0,가정!$C$34*MIN(1,MAX(0,(V57-가정!$C$27)/(가정!$C$28-가정!$C$27)))))/(IF(AE57="",0,가정!$C$31)+IF(AB57="",0,가정!$C$32)+IF(AD57="",0,가정!$C$33)+IF(V57="",0,가정!$C$34))*100,""))</f>
        <v/>
      </c>
      <c r="AI57" s="17">
        <f>IF(AH57="","",IF(U57&lt;=0,"역마진",IF(AH57&gt;=가정!$C$35,"GO",IF(AH57&gt;=가정!$C$36,"검토","SKIP"))))</f>
        <v/>
      </c>
    </row>
    <row r="58">
      <c r="B58" s="6" t="n">
        <v>51</v>
      </c>
      <c r="C58" s="7" t="n"/>
      <c r="E58" s="7" t="n"/>
      <c r="F58" s="7" t="n"/>
      <c r="G58" s="8" t="n"/>
      <c r="H58" s="8" t="n">
        <v>0</v>
      </c>
      <c r="I58" s="9">
        <f>J58*가정!$C$10</f>
        <v/>
      </c>
      <c r="J58" s="10" t="n"/>
      <c r="K58" s="11">
        <f>가정!$C$14</f>
        <v/>
      </c>
      <c r="L58" s="8" t="n"/>
      <c r="M58" s="8" t="n"/>
      <c r="N58" s="9">
        <f>IF(가정!$C$25="Y",가정!$C$24,G58*가정!$C$16)</f>
        <v/>
      </c>
      <c r="P58" s="9">
        <f>(G58*K58)+(H58*가정!$C$15)</f>
        <v/>
      </c>
      <c r="Q58" s="9">
        <f>IF(가정!$C$5="간이과세",(G58+H58)*0.015,(G58+H58)/11-((L58+M58+N58+P58)/11)-IF(가정!$C$11="정식통관",I58*가정!$C$12,0))</f>
        <v/>
      </c>
      <c r="R58" s="9">
        <f>G58+H58-I58-L58-M58-N58-P58-Q58</f>
        <v/>
      </c>
      <c r="S58" s="9">
        <f>MAX(0,R58)*가정!$C$7</f>
        <v/>
      </c>
      <c r="T58" s="9">
        <f>G58*가정!$C$17</f>
        <v/>
      </c>
      <c r="U58" s="9">
        <f>R58-S58-T58</f>
        <v/>
      </c>
      <c r="V58" s="12">
        <f>IF(G58=0,"",U58/G58)</f>
        <v/>
      </c>
      <c r="X58" s="7" t="n"/>
      <c r="Y58" s="7" t="n"/>
      <c r="Z58" s="7" t="n"/>
      <c r="AA58" s="13" t="n"/>
      <c r="AB58" s="13" t="n"/>
      <c r="AC58" s="14" t="n"/>
      <c r="AD58" s="14" t="n"/>
      <c r="AE58" s="13" t="n"/>
      <c r="AF58" s="15">
        <f>IF((1-K58-가정!$C$16-가정!$C$17-가정!$C$27-1/11)&lt;=0,"",IFERROR((I58+L58+M58)/(1-K58-가정!$C$16-가정!$C$17-가정!$C$27-1/11),""))</f>
        <v/>
      </c>
      <c r="AG58" s="15">
        <f>IF(OR(AA58="",AF58=""),"",AA58-AF58)</f>
        <v/>
      </c>
      <c r="AH58" s="16">
        <f>IF(G58="","",IFERROR((IF(AE58="",0,가정!$C$31*MIN(1,LOG(AE58+1)/LOG(가정!$C$30)))+IF(AB58="",0,가정!$C$32*(MAX(0,1-AB58/가정!$C$29)*0.6+AC58*0.4))+IF(AD58="",0,가정!$C$33*MAX(0,1-AD58))+IF(V58="",0,가정!$C$34*MIN(1,MAX(0,(V58-가정!$C$27)/(가정!$C$28-가정!$C$27)))))/(IF(AE58="",0,가정!$C$31)+IF(AB58="",0,가정!$C$32)+IF(AD58="",0,가정!$C$33)+IF(V58="",0,가정!$C$34))*100,""))</f>
        <v/>
      </c>
      <c r="AI58" s="17">
        <f>IF(AH58="","",IF(U58&lt;=0,"역마진",IF(AH58&gt;=가정!$C$35,"GO",IF(AH58&gt;=가정!$C$36,"검토","SKIP"))))</f>
        <v/>
      </c>
    </row>
    <row r="59">
      <c r="B59" s="6" t="n">
        <v>52</v>
      </c>
      <c r="C59" s="7" t="n"/>
      <c r="E59" s="7" t="n"/>
      <c r="F59" s="7" t="n"/>
      <c r="G59" s="8" t="n"/>
      <c r="H59" s="8" t="n">
        <v>0</v>
      </c>
      <c r="I59" s="9">
        <f>J59*가정!$C$10</f>
        <v/>
      </c>
      <c r="J59" s="10" t="n"/>
      <c r="K59" s="11">
        <f>가정!$C$14</f>
        <v/>
      </c>
      <c r="L59" s="8" t="n"/>
      <c r="M59" s="8" t="n"/>
      <c r="N59" s="9">
        <f>IF(가정!$C$25="Y",가정!$C$24,G59*가정!$C$16)</f>
        <v/>
      </c>
      <c r="P59" s="9">
        <f>(G59*K59)+(H59*가정!$C$15)</f>
        <v/>
      </c>
      <c r="Q59" s="9">
        <f>IF(가정!$C$5="간이과세",(G59+H59)*0.015,(G59+H59)/11-((L59+M59+N59+P59)/11)-IF(가정!$C$11="정식통관",I59*가정!$C$12,0))</f>
        <v/>
      </c>
      <c r="R59" s="9">
        <f>G59+H59-I59-L59-M59-N59-P59-Q59</f>
        <v/>
      </c>
      <c r="S59" s="9">
        <f>MAX(0,R59)*가정!$C$7</f>
        <v/>
      </c>
      <c r="T59" s="9">
        <f>G59*가정!$C$17</f>
        <v/>
      </c>
      <c r="U59" s="9">
        <f>R59-S59-T59</f>
        <v/>
      </c>
      <c r="V59" s="12">
        <f>IF(G59=0,"",U59/G59)</f>
        <v/>
      </c>
      <c r="X59" s="7" t="n"/>
      <c r="Y59" s="7" t="n"/>
      <c r="Z59" s="7" t="n"/>
      <c r="AA59" s="13" t="n"/>
      <c r="AB59" s="13" t="n"/>
      <c r="AC59" s="14" t="n"/>
      <c r="AD59" s="14" t="n"/>
      <c r="AE59" s="13" t="n"/>
      <c r="AF59" s="15">
        <f>IF((1-K59-가정!$C$16-가정!$C$17-가정!$C$27-1/11)&lt;=0,"",IFERROR((I59+L59+M59)/(1-K59-가정!$C$16-가정!$C$17-가정!$C$27-1/11),""))</f>
        <v/>
      </c>
      <c r="AG59" s="15">
        <f>IF(OR(AA59="",AF59=""),"",AA59-AF59)</f>
        <v/>
      </c>
      <c r="AH59" s="16">
        <f>IF(G59="","",IFERROR((IF(AE59="",0,가정!$C$31*MIN(1,LOG(AE59+1)/LOG(가정!$C$30)))+IF(AB59="",0,가정!$C$32*(MAX(0,1-AB59/가정!$C$29)*0.6+AC59*0.4))+IF(AD59="",0,가정!$C$33*MAX(0,1-AD59))+IF(V59="",0,가정!$C$34*MIN(1,MAX(0,(V59-가정!$C$27)/(가정!$C$28-가정!$C$27)))))/(IF(AE59="",0,가정!$C$31)+IF(AB59="",0,가정!$C$32)+IF(AD59="",0,가정!$C$33)+IF(V59="",0,가정!$C$34))*100,""))</f>
        <v/>
      </c>
      <c r="AI59" s="17">
        <f>IF(AH59="","",IF(U59&lt;=0,"역마진",IF(AH59&gt;=가정!$C$35,"GO",IF(AH59&gt;=가정!$C$36,"검토","SKIP"))))</f>
        <v/>
      </c>
    </row>
    <row r="60">
      <c r="B60" s="6" t="n">
        <v>53</v>
      </c>
      <c r="C60" s="7" t="n"/>
      <c r="E60" s="7" t="n"/>
      <c r="F60" s="7" t="n"/>
      <c r="G60" s="8" t="n"/>
      <c r="H60" s="8" t="n">
        <v>0</v>
      </c>
      <c r="I60" s="9">
        <f>J60*가정!$C$10</f>
        <v/>
      </c>
      <c r="J60" s="10" t="n"/>
      <c r="K60" s="11">
        <f>가정!$C$14</f>
        <v/>
      </c>
      <c r="L60" s="8" t="n"/>
      <c r="M60" s="8" t="n"/>
      <c r="N60" s="9">
        <f>IF(가정!$C$25="Y",가정!$C$24,G60*가정!$C$16)</f>
        <v/>
      </c>
      <c r="P60" s="9">
        <f>(G60*K60)+(H60*가정!$C$15)</f>
        <v/>
      </c>
      <c r="Q60" s="9">
        <f>IF(가정!$C$5="간이과세",(G60+H60)*0.015,(G60+H60)/11-((L60+M60+N60+P60)/11)-IF(가정!$C$11="정식통관",I60*가정!$C$12,0))</f>
        <v/>
      </c>
      <c r="R60" s="9">
        <f>G60+H60-I60-L60-M60-N60-P60-Q60</f>
        <v/>
      </c>
      <c r="S60" s="9">
        <f>MAX(0,R60)*가정!$C$7</f>
        <v/>
      </c>
      <c r="T60" s="9">
        <f>G60*가정!$C$17</f>
        <v/>
      </c>
      <c r="U60" s="9">
        <f>R60-S60-T60</f>
        <v/>
      </c>
      <c r="V60" s="12">
        <f>IF(G60=0,"",U60/G60)</f>
        <v/>
      </c>
      <c r="X60" s="7" t="n"/>
      <c r="Y60" s="7" t="n"/>
      <c r="Z60" s="7" t="n"/>
      <c r="AA60" s="13" t="n"/>
      <c r="AB60" s="13" t="n"/>
      <c r="AC60" s="14" t="n"/>
      <c r="AD60" s="14" t="n"/>
      <c r="AE60" s="13" t="n"/>
      <c r="AF60" s="15">
        <f>IF((1-K60-가정!$C$16-가정!$C$17-가정!$C$27-1/11)&lt;=0,"",IFERROR((I60+L60+M60)/(1-K60-가정!$C$16-가정!$C$17-가정!$C$27-1/11),""))</f>
        <v/>
      </c>
      <c r="AG60" s="15">
        <f>IF(OR(AA60="",AF60=""),"",AA60-AF60)</f>
        <v/>
      </c>
      <c r="AH60" s="16">
        <f>IF(G60="","",IFERROR((IF(AE60="",0,가정!$C$31*MIN(1,LOG(AE60+1)/LOG(가정!$C$30)))+IF(AB60="",0,가정!$C$32*(MAX(0,1-AB60/가정!$C$29)*0.6+AC60*0.4))+IF(AD60="",0,가정!$C$33*MAX(0,1-AD60))+IF(V60="",0,가정!$C$34*MIN(1,MAX(0,(V60-가정!$C$27)/(가정!$C$28-가정!$C$27)))))/(IF(AE60="",0,가정!$C$31)+IF(AB60="",0,가정!$C$32)+IF(AD60="",0,가정!$C$33)+IF(V60="",0,가정!$C$34))*100,""))</f>
        <v/>
      </c>
      <c r="AI60" s="17">
        <f>IF(AH60="","",IF(U60&lt;=0,"역마진",IF(AH60&gt;=가정!$C$35,"GO",IF(AH60&gt;=가정!$C$36,"검토","SKIP"))))</f>
        <v/>
      </c>
    </row>
    <row r="61">
      <c r="B61" s="6" t="n">
        <v>54</v>
      </c>
      <c r="C61" s="7" t="n"/>
      <c r="E61" s="7" t="n"/>
      <c r="F61" s="7" t="n"/>
      <c r="G61" s="8" t="n"/>
      <c r="H61" s="8" t="n">
        <v>0</v>
      </c>
      <c r="I61" s="9">
        <f>J61*가정!$C$10</f>
        <v/>
      </c>
      <c r="J61" s="10" t="n"/>
      <c r="K61" s="11">
        <f>가정!$C$14</f>
        <v/>
      </c>
      <c r="L61" s="8" t="n"/>
      <c r="M61" s="8" t="n"/>
      <c r="N61" s="9">
        <f>IF(가정!$C$25="Y",가정!$C$24,G61*가정!$C$16)</f>
        <v/>
      </c>
      <c r="P61" s="9">
        <f>(G61*K61)+(H61*가정!$C$15)</f>
        <v/>
      </c>
      <c r="Q61" s="9">
        <f>IF(가정!$C$5="간이과세",(G61+H61)*0.015,(G61+H61)/11-((L61+M61+N61+P61)/11)-IF(가정!$C$11="정식통관",I61*가정!$C$12,0))</f>
        <v/>
      </c>
      <c r="R61" s="9">
        <f>G61+H61-I61-L61-M61-N61-P61-Q61</f>
        <v/>
      </c>
      <c r="S61" s="9">
        <f>MAX(0,R61)*가정!$C$7</f>
        <v/>
      </c>
      <c r="T61" s="9">
        <f>G61*가정!$C$17</f>
        <v/>
      </c>
      <c r="U61" s="9">
        <f>R61-S61-T61</f>
        <v/>
      </c>
      <c r="V61" s="12">
        <f>IF(G61=0,"",U61/G61)</f>
        <v/>
      </c>
      <c r="X61" s="7" t="n"/>
      <c r="Y61" s="7" t="n"/>
      <c r="Z61" s="7" t="n"/>
      <c r="AA61" s="13" t="n"/>
      <c r="AB61" s="13" t="n"/>
      <c r="AC61" s="14" t="n"/>
      <c r="AD61" s="14" t="n"/>
      <c r="AE61" s="13" t="n"/>
      <c r="AF61" s="15">
        <f>IF((1-K61-가정!$C$16-가정!$C$17-가정!$C$27-1/11)&lt;=0,"",IFERROR((I61+L61+M61)/(1-K61-가정!$C$16-가정!$C$17-가정!$C$27-1/11),""))</f>
        <v/>
      </c>
      <c r="AG61" s="15">
        <f>IF(OR(AA61="",AF61=""),"",AA61-AF61)</f>
        <v/>
      </c>
      <c r="AH61" s="16">
        <f>IF(G61="","",IFERROR((IF(AE61="",0,가정!$C$31*MIN(1,LOG(AE61+1)/LOG(가정!$C$30)))+IF(AB61="",0,가정!$C$32*(MAX(0,1-AB61/가정!$C$29)*0.6+AC61*0.4))+IF(AD61="",0,가정!$C$33*MAX(0,1-AD61))+IF(V61="",0,가정!$C$34*MIN(1,MAX(0,(V61-가정!$C$27)/(가정!$C$28-가정!$C$27)))))/(IF(AE61="",0,가정!$C$31)+IF(AB61="",0,가정!$C$32)+IF(AD61="",0,가정!$C$33)+IF(V61="",0,가정!$C$34))*100,""))</f>
        <v/>
      </c>
      <c r="AI61" s="17">
        <f>IF(AH61="","",IF(U61&lt;=0,"역마진",IF(AH61&gt;=가정!$C$35,"GO",IF(AH61&gt;=가정!$C$36,"검토","SKIP"))))</f>
        <v/>
      </c>
    </row>
    <row r="62">
      <c r="B62" s="6" t="n">
        <v>55</v>
      </c>
      <c r="C62" s="7" t="n"/>
      <c r="E62" s="7" t="n"/>
      <c r="F62" s="7" t="n"/>
      <c r="G62" s="8" t="n"/>
      <c r="H62" s="8" t="n">
        <v>0</v>
      </c>
      <c r="I62" s="9">
        <f>J62*가정!$C$10</f>
        <v/>
      </c>
      <c r="J62" s="10" t="n"/>
      <c r="K62" s="11">
        <f>가정!$C$14</f>
        <v/>
      </c>
      <c r="L62" s="8" t="n"/>
      <c r="M62" s="8" t="n"/>
      <c r="N62" s="9">
        <f>IF(가정!$C$25="Y",가정!$C$24,G62*가정!$C$16)</f>
        <v/>
      </c>
      <c r="P62" s="9">
        <f>(G62*K62)+(H62*가정!$C$15)</f>
        <v/>
      </c>
      <c r="Q62" s="9">
        <f>IF(가정!$C$5="간이과세",(G62+H62)*0.015,(G62+H62)/11-((L62+M62+N62+P62)/11)-IF(가정!$C$11="정식통관",I62*가정!$C$12,0))</f>
        <v/>
      </c>
      <c r="R62" s="9">
        <f>G62+H62-I62-L62-M62-N62-P62-Q62</f>
        <v/>
      </c>
      <c r="S62" s="9">
        <f>MAX(0,R62)*가정!$C$7</f>
        <v/>
      </c>
      <c r="T62" s="9">
        <f>G62*가정!$C$17</f>
        <v/>
      </c>
      <c r="U62" s="9">
        <f>R62-S62-T62</f>
        <v/>
      </c>
      <c r="V62" s="12">
        <f>IF(G62=0,"",U62/G62)</f>
        <v/>
      </c>
      <c r="X62" s="7" t="n"/>
      <c r="Y62" s="7" t="n"/>
      <c r="Z62" s="7" t="n"/>
      <c r="AA62" s="13" t="n"/>
      <c r="AB62" s="13" t="n"/>
      <c r="AC62" s="14" t="n"/>
      <c r="AD62" s="14" t="n"/>
      <c r="AE62" s="13" t="n"/>
      <c r="AF62" s="15">
        <f>IF((1-K62-가정!$C$16-가정!$C$17-가정!$C$27-1/11)&lt;=0,"",IFERROR((I62+L62+M62)/(1-K62-가정!$C$16-가정!$C$17-가정!$C$27-1/11),""))</f>
        <v/>
      </c>
      <c r="AG62" s="15">
        <f>IF(OR(AA62="",AF62=""),"",AA62-AF62)</f>
        <v/>
      </c>
      <c r="AH62" s="16">
        <f>IF(G62="","",IFERROR((IF(AE62="",0,가정!$C$31*MIN(1,LOG(AE62+1)/LOG(가정!$C$30)))+IF(AB62="",0,가정!$C$32*(MAX(0,1-AB62/가정!$C$29)*0.6+AC62*0.4))+IF(AD62="",0,가정!$C$33*MAX(0,1-AD62))+IF(V62="",0,가정!$C$34*MIN(1,MAX(0,(V62-가정!$C$27)/(가정!$C$28-가정!$C$27)))))/(IF(AE62="",0,가정!$C$31)+IF(AB62="",0,가정!$C$32)+IF(AD62="",0,가정!$C$33)+IF(V62="",0,가정!$C$34))*100,""))</f>
        <v/>
      </c>
      <c r="AI62" s="17">
        <f>IF(AH62="","",IF(U62&lt;=0,"역마진",IF(AH62&gt;=가정!$C$35,"GO",IF(AH62&gt;=가정!$C$36,"검토","SKIP"))))</f>
        <v/>
      </c>
    </row>
    <row r="63">
      <c r="B63" s="6" t="n">
        <v>56</v>
      </c>
      <c r="C63" s="7" t="n"/>
      <c r="E63" s="7" t="n"/>
      <c r="F63" s="7" t="n"/>
      <c r="G63" s="8" t="n"/>
      <c r="H63" s="8" t="n">
        <v>0</v>
      </c>
      <c r="I63" s="9">
        <f>J63*가정!$C$10</f>
        <v/>
      </c>
      <c r="J63" s="10" t="n"/>
      <c r="K63" s="11">
        <f>가정!$C$14</f>
        <v/>
      </c>
      <c r="L63" s="8" t="n"/>
      <c r="M63" s="8" t="n"/>
      <c r="N63" s="9">
        <f>IF(가정!$C$25="Y",가정!$C$24,G63*가정!$C$16)</f>
        <v/>
      </c>
      <c r="P63" s="9">
        <f>(G63*K63)+(H63*가정!$C$15)</f>
        <v/>
      </c>
      <c r="Q63" s="9">
        <f>IF(가정!$C$5="간이과세",(G63+H63)*0.015,(G63+H63)/11-((L63+M63+N63+P63)/11)-IF(가정!$C$11="정식통관",I63*가정!$C$12,0))</f>
        <v/>
      </c>
      <c r="R63" s="9">
        <f>G63+H63-I63-L63-M63-N63-P63-Q63</f>
        <v/>
      </c>
      <c r="S63" s="9">
        <f>MAX(0,R63)*가정!$C$7</f>
        <v/>
      </c>
      <c r="T63" s="9">
        <f>G63*가정!$C$17</f>
        <v/>
      </c>
      <c r="U63" s="9">
        <f>R63-S63-T63</f>
        <v/>
      </c>
      <c r="V63" s="12">
        <f>IF(G63=0,"",U63/G63)</f>
        <v/>
      </c>
      <c r="X63" s="7" t="n"/>
      <c r="Y63" s="7" t="n"/>
      <c r="Z63" s="7" t="n"/>
      <c r="AA63" s="13" t="n"/>
      <c r="AB63" s="13" t="n"/>
      <c r="AC63" s="14" t="n"/>
      <c r="AD63" s="14" t="n"/>
      <c r="AE63" s="13" t="n"/>
      <c r="AF63" s="15">
        <f>IF((1-K63-가정!$C$16-가정!$C$17-가정!$C$27-1/11)&lt;=0,"",IFERROR((I63+L63+M63)/(1-K63-가정!$C$16-가정!$C$17-가정!$C$27-1/11),""))</f>
        <v/>
      </c>
      <c r="AG63" s="15">
        <f>IF(OR(AA63="",AF63=""),"",AA63-AF63)</f>
        <v/>
      </c>
      <c r="AH63" s="16">
        <f>IF(G63="","",IFERROR((IF(AE63="",0,가정!$C$31*MIN(1,LOG(AE63+1)/LOG(가정!$C$30)))+IF(AB63="",0,가정!$C$32*(MAX(0,1-AB63/가정!$C$29)*0.6+AC63*0.4))+IF(AD63="",0,가정!$C$33*MAX(0,1-AD63))+IF(V63="",0,가정!$C$34*MIN(1,MAX(0,(V63-가정!$C$27)/(가정!$C$28-가정!$C$27)))))/(IF(AE63="",0,가정!$C$31)+IF(AB63="",0,가정!$C$32)+IF(AD63="",0,가정!$C$33)+IF(V63="",0,가정!$C$34))*100,""))</f>
        <v/>
      </c>
      <c r="AI63" s="17">
        <f>IF(AH63="","",IF(U63&lt;=0,"역마진",IF(AH63&gt;=가정!$C$35,"GO",IF(AH63&gt;=가정!$C$36,"검토","SKIP"))))</f>
        <v/>
      </c>
    </row>
    <row r="64">
      <c r="B64" s="6" t="n">
        <v>57</v>
      </c>
      <c r="C64" s="7" t="n"/>
      <c r="E64" s="7" t="n"/>
      <c r="F64" s="7" t="n"/>
      <c r="G64" s="8" t="n"/>
      <c r="H64" s="8" t="n">
        <v>0</v>
      </c>
      <c r="I64" s="9">
        <f>J64*가정!$C$10</f>
        <v/>
      </c>
      <c r="J64" s="10" t="n"/>
      <c r="K64" s="11">
        <f>가정!$C$14</f>
        <v/>
      </c>
      <c r="L64" s="8" t="n"/>
      <c r="M64" s="8" t="n"/>
      <c r="N64" s="9">
        <f>IF(가정!$C$25="Y",가정!$C$24,G64*가정!$C$16)</f>
        <v/>
      </c>
      <c r="P64" s="9">
        <f>(G64*K64)+(H64*가정!$C$15)</f>
        <v/>
      </c>
      <c r="Q64" s="9">
        <f>IF(가정!$C$5="간이과세",(G64+H64)*0.015,(G64+H64)/11-((L64+M64+N64+P64)/11)-IF(가정!$C$11="정식통관",I64*가정!$C$12,0))</f>
        <v/>
      </c>
      <c r="R64" s="9">
        <f>G64+H64-I64-L64-M64-N64-P64-Q64</f>
        <v/>
      </c>
      <c r="S64" s="9">
        <f>MAX(0,R64)*가정!$C$7</f>
        <v/>
      </c>
      <c r="T64" s="9">
        <f>G64*가정!$C$17</f>
        <v/>
      </c>
      <c r="U64" s="9">
        <f>R64-S64-T64</f>
        <v/>
      </c>
      <c r="V64" s="12">
        <f>IF(G64=0,"",U64/G64)</f>
        <v/>
      </c>
      <c r="X64" s="7" t="n"/>
      <c r="Y64" s="7" t="n"/>
      <c r="Z64" s="7" t="n"/>
      <c r="AA64" s="13" t="n"/>
      <c r="AB64" s="13" t="n"/>
      <c r="AC64" s="14" t="n"/>
      <c r="AD64" s="14" t="n"/>
      <c r="AE64" s="13" t="n"/>
      <c r="AF64" s="15">
        <f>IF((1-K64-가정!$C$16-가정!$C$17-가정!$C$27-1/11)&lt;=0,"",IFERROR((I64+L64+M64)/(1-K64-가정!$C$16-가정!$C$17-가정!$C$27-1/11),""))</f>
        <v/>
      </c>
      <c r="AG64" s="15">
        <f>IF(OR(AA64="",AF64=""),"",AA64-AF64)</f>
        <v/>
      </c>
      <c r="AH64" s="16">
        <f>IF(G64="","",IFERROR((IF(AE64="",0,가정!$C$31*MIN(1,LOG(AE64+1)/LOG(가정!$C$30)))+IF(AB64="",0,가정!$C$32*(MAX(0,1-AB64/가정!$C$29)*0.6+AC64*0.4))+IF(AD64="",0,가정!$C$33*MAX(0,1-AD64))+IF(V64="",0,가정!$C$34*MIN(1,MAX(0,(V64-가정!$C$27)/(가정!$C$28-가정!$C$27)))))/(IF(AE64="",0,가정!$C$31)+IF(AB64="",0,가정!$C$32)+IF(AD64="",0,가정!$C$33)+IF(V64="",0,가정!$C$34))*100,""))</f>
        <v/>
      </c>
      <c r="AI64" s="17">
        <f>IF(AH64="","",IF(U64&lt;=0,"역마진",IF(AH64&gt;=가정!$C$35,"GO",IF(AH64&gt;=가정!$C$36,"검토","SKIP"))))</f>
        <v/>
      </c>
    </row>
    <row r="65">
      <c r="B65" s="6" t="n">
        <v>58</v>
      </c>
      <c r="C65" s="7" t="n"/>
      <c r="E65" s="7" t="n"/>
      <c r="F65" s="7" t="n"/>
      <c r="G65" s="8" t="n"/>
      <c r="H65" s="8" t="n">
        <v>0</v>
      </c>
      <c r="I65" s="9">
        <f>J65*가정!$C$10</f>
        <v/>
      </c>
      <c r="J65" s="10" t="n"/>
      <c r="K65" s="11">
        <f>가정!$C$14</f>
        <v/>
      </c>
      <c r="L65" s="8" t="n"/>
      <c r="M65" s="8" t="n"/>
      <c r="N65" s="9">
        <f>IF(가정!$C$25="Y",가정!$C$24,G65*가정!$C$16)</f>
        <v/>
      </c>
      <c r="P65" s="9">
        <f>(G65*K65)+(H65*가정!$C$15)</f>
        <v/>
      </c>
      <c r="Q65" s="9">
        <f>IF(가정!$C$5="간이과세",(G65+H65)*0.015,(G65+H65)/11-((L65+M65+N65+P65)/11)-IF(가정!$C$11="정식통관",I65*가정!$C$12,0))</f>
        <v/>
      </c>
      <c r="R65" s="9">
        <f>G65+H65-I65-L65-M65-N65-P65-Q65</f>
        <v/>
      </c>
      <c r="S65" s="9">
        <f>MAX(0,R65)*가정!$C$7</f>
        <v/>
      </c>
      <c r="T65" s="9">
        <f>G65*가정!$C$17</f>
        <v/>
      </c>
      <c r="U65" s="9">
        <f>R65-S65-T65</f>
        <v/>
      </c>
      <c r="V65" s="12">
        <f>IF(G65=0,"",U65/G65)</f>
        <v/>
      </c>
      <c r="X65" s="7" t="n"/>
      <c r="Y65" s="7" t="n"/>
      <c r="Z65" s="7" t="n"/>
      <c r="AA65" s="13" t="n"/>
      <c r="AB65" s="13" t="n"/>
      <c r="AC65" s="14" t="n"/>
      <c r="AD65" s="14" t="n"/>
      <c r="AE65" s="13" t="n"/>
      <c r="AF65" s="15">
        <f>IF((1-K65-가정!$C$16-가정!$C$17-가정!$C$27-1/11)&lt;=0,"",IFERROR((I65+L65+M65)/(1-K65-가정!$C$16-가정!$C$17-가정!$C$27-1/11),""))</f>
        <v/>
      </c>
      <c r="AG65" s="15">
        <f>IF(OR(AA65="",AF65=""),"",AA65-AF65)</f>
        <v/>
      </c>
      <c r="AH65" s="16">
        <f>IF(G65="","",IFERROR((IF(AE65="",0,가정!$C$31*MIN(1,LOG(AE65+1)/LOG(가정!$C$30)))+IF(AB65="",0,가정!$C$32*(MAX(0,1-AB65/가정!$C$29)*0.6+AC65*0.4))+IF(AD65="",0,가정!$C$33*MAX(0,1-AD65))+IF(V65="",0,가정!$C$34*MIN(1,MAX(0,(V65-가정!$C$27)/(가정!$C$28-가정!$C$27)))))/(IF(AE65="",0,가정!$C$31)+IF(AB65="",0,가정!$C$32)+IF(AD65="",0,가정!$C$33)+IF(V65="",0,가정!$C$34))*100,""))</f>
        <v/>
      </c>
      <c r="AI65" s="17">
        <f>IF(AH65="","",IF(U65&lt;=0,"역마진",IF(AH65&gt;=가정!$C$35,"GO",IF(AH65&gt;=가정!$C$36,"검토","SKIP"))))</f>
        <v/>
      </c>
    </row>
    <row r="66">
      <c r="B66" s="6" t="n">
        <v>59</v>
      </c>
      <c r="C66" s="7" t="n"/>
      <c r="E66" s="7" t="n"/>
      <c r="F66" s="7" t="n"/>
      <c r="G66" s="8" t="n"/>
      <c r="H66" s="8" t="n">
        <v>0</v>
      </c>
      <c r="I66" s="9">
        <f>J66*가정!$C$10</f>
        <v/>
      </c>
      <c r="J66" s="10" t="n"/>
      <c r="K66" s="11">
        <f>가정!$C$14</f>
        <v/>
      </c>
      <c r="L66" s="8" t="n"/>
      <c r="M66" s="8" t="n"/>
      <c r="N66" s="9">
        <f>IF(가정!$C$25="Y",가정!$C$24,G66*가정!$C$16)</f>
        <v/>
      </c>
      <c r="P66" s="9">
        <f>(G66*K66)+(H66*가정!$C$15)</f>
        <v/>
      </c>
      <c r="Q66" s="9">
        <f>IF(가정!$C$5="간이과세",(G66+H66)*0.015,(G66+H66)/11-((L66+M66+N66+P66)/11)-IF(가정!$C$11="정식통관",I66*가정!$C$12,0))</f>
        <v/>
      </c>
      <c r="R66" s="9">
        <f>G66+H66-I66-L66-M66-N66-P66-Q66</f>
        <v/>
      </c>
      <c r="S66" s="9">
        <f>MAX(0,R66)*가정!$C$7</f>
        <v/>
      </c>
      <c r="T66" s="9">
        <f>G66*가정!$C$17</f>
        <v/>
      </c>
      <c r="U66" s="9">
        <f>R66-S66-T66</f>
        <v/>
      </c>
      <c r="V66" s="12">
        <f>IF(G66=0,"",U66/G66)</f>
        <v/>
      </c>
      <c r="X66" s="7" t="n"/>
      <c r="Y66" s="7" t="n"/>
      <c r="Z66" s="7" t="n"/>
      <c r="AA66" s="13" t="n"/>
      <c r="AB66" s="13" t="n"/>
      <c r="AC66" s="14" t="n"/>
      <c r="AD66" s="14" t="n"/>
      <c r="AE66" s="13" t="n"/>
      <c r="AF66" s="15">
        <f>IF((1-K66-가정!$C$16-가정!$C$17-가정!$C$27-1/11)&lt;=0,"",IFERROR((I66+L66+M66)/(1-K66-가정!$C$16-가정!$C$17-가정!$C$27-1/11),""))</f>
        <v/>
      </c>
      <c r="AG66" s="15">
        <f>IF(OR(AA66="",AF66=""),"",AA66-AF66)</f>
        <v/>
      </c>
      <c r="AH66" s="16">
        <f>IF(G66="","",IFERROR((IF(AE66="",0,가정!$C$31*MIN(1,LOG(AE66+1)/LOG(가정!$C$30)))+IF(AB66="",0,가정!$C$32*(MAX(0,1-AB66/가정!$C$29)*0.6+AC66*0.4))+IF(AD66="",0,가정!$C$33*MAX(0,1-AD66))+IF(V66="",0,가정!$C$34*MIN(1,MAX(0,(V66-가정!$C$27)/(가정!$C$28-가정!$C$27)))))/(IF(AE66="",0,가정!$C$31)+IF(AB66="",0,가정!$C$32)+IF(AD66="",0,가정!$C$33)+IF(V66="",0,가정!$C$34))*100,""))</f>
        <v/>
      </c>
      <c r="AI66" s="17">
        <f>IF(AH66="","",IF(U66&lt;=0,"역마진",IF(AH66&gt;=가정!$C$35,"GO",IF(AH66&gt;=가정!$C$36,"검토","SKIP"))))</f>
        <v/>
      </c>
    </row>
    <row r="67">
      <c r="B67" s="6" t="n">
        <v>60</v>
      </c>
      <c r="C67" s="7" t="n"/>
      <c r="E67" s="7" t="n"/>
      <c r="F67" s="7" t="n"/>
      <c r="G67" s="8" t="n"/>
      <c r="H67" s="8" t="n">
        <v>0</v>
      </c>
      <c r="I67" s="9">
        <f>J67*가정!$C$10</f>
        <v/>
      </c>
      <c r="J67" s="10" t="n"/>
      <c r="K67" s="11">
        <f>가정!$C$14</f>
        <v/>
      </c>
      <c r="L67" s="8" t="n"/>
      <c r="M67" s="8" t="n"/>
      <c r="N67" s="9">
        <f>IF(가정!$C$25="Y",가정!$C$24,G67*가정!$C$16)</f>
        <v/>
      </c>
      <c r="P67" s="9">
        <f>(G67*K67)+(H67*가정!$C$15)</f>
        <v/>
      </c>
      <c r="Q67" s="9">
        <f>IF(가정!$C$5="간이과세",(G67+H67)*0.015,(G67+H67)/11-((L67+M67+N67+P67)/11)-IF(가정!$C$11="정식통관",I67*가정!$C$12,0))</f>
        <v/>
      </c>
      <c r="R67" s="9">
        <f>G67+H67-I67-L67-M67-N67-P67-Q67</f>
        <v/>
      </c>
      <c r="S67" s="9">
        <f>MAX(0,R67)*가정!$C$7</f>
        <v/>
      </c>
      <c r="T67" s="9">
        <f>G67*가정!$C$17</f>
        <v/>
      </c>
      <c r="U67" s="9">
        <f>R67-S67-T67</f>
        <v/>
      </c>
      <c r="V67" s="12">
        <f>IF(G67=0,"",U67/G67)</f>
        <v/>
      </c>
      <c r="X67" s="7" t="n"/>
      <c r="Y67" s="7" t="n"/>
      <c r="Z67" s="7" t="n"/>
      <c r="AA67" s="13" t="n"/>
      <c r="AB67" s="13" t="n"/>
      <c r="AC67" s="14" t="n"/>
      <c r="AD67" s="14" t="n"/>
      <c r="AE67" s="13" t="n"/>
      <c r="AF67" s="15">
        <f>IF((1-K67-가정!$C$16-가정!$C$17-가정!$C$27-1/11)&lt;=0,"",IFERROR((I67+L67+M67)/(1-K67-가정!$C$16-가정!$C$17-가정!$C$27-1/11),""))</f>
        <v/>
      </c>
      <c r="AG67" s="15">
        <f>IF(OR(AA67="",AF67=""),"",AA67-AF67)</f>
        <v/>
      </c>
      <c r="AH67" s="16">
        <f>IF(G67="","",IFERROR((IF(AE67="",0,가정!$C$31*MIN(1,LOG(AE67+1)/LOG(가정!$C$30)))+IF(AB67="",0,가정!$C$32*(MAX(0,1-AB67/가정!$C$29)*0.6+AC67*0.4))+IF(AD67="",0,가정!$C$33*MAX(0,1-AD67))+IF(V67="",0,가정!$C$34*MIN(1,MAX(0,(V67-가정!$C$27)/(가정!$C$28-가정!$C$27)))))/(IF(AE67="",0,가정!$C$31)+IF(AB67="",0,가정!$C$32)+IF(AD67="",0,가정!$C$33)+IF(V67="",0,가정!$C$34))*100,""))</f>
        <v/>
      </c>
      <c r="AI67" s="17">
        <f>IF(AH67="","",IF(U67&lt;=0,"역마진",IF(AH67&gt;=가정!$C$35,"GO",IF(AH67&gt;=가정!$C$36,"검토","SKIP"))))</f>
        <v/>
      </c>
    </row>
    <row r="68">
      <c r="B68" s="6" t="n">
        <v>61</v>
      </c>
      <c r="C68" s="7" t="n"/>
      <c r="E68" s="7" t="n"/>
      <c r="F68" s="7" t="n"/>
      <c r="G68" s="8" t="n"/>
      <c r="H68" s="8" t="n">
        <v>0</v>
      </c>
      <c r="I68" s="9">
        <f>J68*가정!$C$10</f>
        <v/>
      </c>
      <c r="J68" s="10" t="n"/>
      <c r="K68" s="11">
        <f>가정!$C$14</f>
        <v/>
      </c>
      <c r="L68" s="8" t="n"/>
      <c r="M68" s="8" t="n"/>
      <c r="N68" s="9">
        <f>IF(가정!$C$25="Y",가정!$C$24,G68*가정!$C$16)</f>
        <v/>
      </c>
      <c r="P68" s="9">
        <f>(G68*K68)+(H68*가정!$C$15)</f>
        <v/>
      </c>
      <c r="Q68" s="9">
        <f>IF(가정!$C$5="간이과세",(G68+H68)*0.015,(G68+H68)/11-((L68+M68+N68+P68)/11)-IF(가정!$C$11="정식통관",I68*가정!$C$12,0))</f>
        <v/>
      </c>
      <c r="R68" s="9">
        <f>G68+H68-I68-L68-M68-N68-P68-Q68</f>
        <v/>
      </c>
      <c r="S68" s="9">
        <f>MAX(0,R68)*가정!$C$7</f>
        <v/>
      </c>
      <c r="T68" s="9">
        <f>G68*가정!$C$17</f>
        <v/>
      </c>
      <c r="U68" s="9">
        <f>R68-S68-T68</f>
        <v/>
      </c>
      <c r="V68" s="12">
        <f>IF(G68=0,"",U68/G68)</f>
        <v/>
      </c>
      <c r="X68" s="7" t="n"/>
      <c r="Y68" s="7" t="n"/>
      <c r="Z68" s="7" t="n"/>
      <c r="AA68" s="13" t="n"/>
      <c r="AB68" s="13" t="n"/>
      <c r="AC68" s="14" t="n"/>
      <c r="AD68" s="14" t="n"/>
      <c r="AE68" s="13" t="n"/>
      <c r="AF68" s="15">
        <f>IF((1-K68-가정!$C$16-가정!$C$17-가정!$C$27-1/11)&lt;=0,"",IFERROR((I68+L68+M68)/(1-K68-가정!$C$16-가정!$C$17-가정!$C$27-1/11),""))</f>
        <v/>
      </c>
      <c r="AG68" s="15">
        <f>IF(OR(AA68="",AF68=""),"",AA68-AF68)</f>
        <v/>
      </c>
      <c r="AH68" s="16">
        <f>IF(G68="","",IFERROR((IF(AE68="",0,가정!$C$31*MIN(1,LOG(AE68+1)/LOG(가정!$C$30)))+IF(AB68="",0,가정!$C$32*(MAX(0,1-AB68/가정!$C$29)*0.6+AC68*0.4))+IF(AD68="",0,가정!$C$33*MAX(0,1-AD68))+IF(V68="",0,가정!$C$34*MIN(1,MAX(0,(V68-가정!$C$27)/(가정!$C$28-가정!$C$27)))))/(IF(AE68="",0,가정!$C$31)+IF(AB68="",0,가정!$C$32)+IF(AD68="",0,가정!$C$33)+IF(V68="",0,가정!$C$34))*100,""))</f>
        <v/>
      </c>
      <c r="AI68" s="17">
        <f>IF(AH68="","",IF(U68&lt;=0,"역마진",IF(AH68&gt;=가정!$C$35,"GO",IF(AH68&gt;=가정!$C$36,"검토","SKIP"))))</f>
        <v/>
      </c>
    </row>
    <row r="69">
      <c r="B69" s="6" t="n">
        <v>62</v>
      </c>
      <c r="C69" s="7" t="n"/>
      <c r="E69" s="7" t="n"/>
      <c r="F69" s="7" t="n"/>
      <c r="G69" s="8" t="n"/>
      <c r="H69" s="8" t="n">
        <v>0</v>
      </c>
      <c r="I69" s="9">
        <f>J69*가정!$C$10</f>
        <v/>
      </c>
      <c r="J69" s="10" t="n"/>
      <c r="K69" s="11">
        <f>가정!$C$14</f>
        <v/>
      </c>
      <c r="L69" s="8" t="n"/>
      <c r="M69" s="8" t="n"/>
      <c r="N69" s="9">
        <f>IF(가정!$C$25="Y",가정!$C$24,G69*가정!$C$16)</f>
        <v/>
      </c>
      <c r="P69" s="9">
        <f>(G69*K69)+(H69*가정!$C$15)</f>
        <v/>
      </c>
      <c r="Q69" s="9">
        <f>IF(가정!$C$5="간이과세",(G69+H69)*0.015,(G69+H69)/11-((L69+M69+N69+P69)/11)-IF(가정!$C$11="정식통관",I69*가정!$C$12,0))</f>
        <v/>
      </c>
      <c r="R69" s="9">
        <f>G69+H69-I69-L69-M69-N69-P69-Q69</f>
        <v/>
      </c>
      <c r="S69" s="9">
        <f>MAX(0,R69)*가정!$C$7</f>
        <v/>
      </c>
      <c r="T69" s="9">
        <f>G69*가정!$C$17</f>
        <v/>
      </c>
      <c r="U69" s="9">
        <f>R69-S69-T69</f>
        <v/>
      </c>
      <c r="V69" s="12">
        <f>IF(G69=0,"",U69/G69)</f>
        <v/>
      </c>
      <c r="X69" s="7" t="n"/>
      <c r="Y69" s="7" t="n"/>
      <c r="Z69" s="7" t="n"/>
      <c r="AA69" s="13" t="n"/>
      <c r="AB69" s="13" t="n"/>
      <c r="AC69" s="14" t="n"/>
      <c r="AD69" s="14" t="n"/>
      <c r="AE69" s="13" t="n"/>
      <c r="AF69" s="15">
        <f>IF((1-K69-가정!$C$16-가정!$C$17-가정!$C$27-1/11)&lt;=0,"",IFERROR((I69+L69+M69)/(1-K69-가정!$C$16-가정!$C$17-가정!$C$27-1/11),""))</f>
        <v/>
      </c>
      <c r="AG69" s="15">
        <f>IF(OR(AA69="",AF69=""),"",AA69-AF69)</f>
        <v/>
      </c>
      <c r="AH69" s="16">
        <f>IF(G69="","",IFERROR((IF(AE69="",0,가정!$C$31*MIN(1,LOG(AE69+1)/LOG(가정!$C$30)))+IF(AB69="",0,가정!$C$32*(MAX(0,1-AB69/가정!$C$29)*0.6+AC69*0.4))+IF(AD69="",0,가정!$C$33*MAX(0,1-AD69))+IF(V69="",0,가정!$C$34*MIN(1,MAX(0,(V69-가정!$C$27)/(가정!$C$28-가정!$C$27)))))/(IF(AE69="",0,가정!$C$31)+IF(AB69="",0,가정!$C$32)+IF(AD69="",0,가정!$C$33)+IF(V69="",0,가정!$C$34))*100,""))</f>
        <v/>
      </c>
      <c r="AI69" s="17">
        <f>IF(AH69="","",IF(U69&lt;=0,"역마진",IF(AH69&gt;=가정!$C$35,"GO",IF(AH69&gt;=가정!$C$36,"검토","SKIP"))))</f>
        <v/>
      </c>
    </row>
    <row r="70">
      <c r="B70" s="6" t="n">
        <v>63</v>
      </c>
      <c r="C70" s="7" t="n"/>
      <c r="E70" s="7" t="n"/>
      <c r="F70" s="7" t="n"/>
      <c r="G70" s="8" t="n"/>
      <c r="H70" s="8" t="n">
        <v>0</v>
      </c>
      <c r="I70" s="9">
        <f>J70*가정!$C$10</f>
        <v/>
      </c>
      <c r="J70" s="10" t="n"/>
      <c r="K70" s="11">
        <f>가정!$C$14</f>
        <v/>
      </c>
      <c r="L70" s="8" t="n"/>
      <c r="M70" s="8" t="n"/>
      <c r="N70" s="9">
        <f>IF(가정!$C$25="Y",가정!$C$24,G70*가정!$C$16)</f>
        <v/>
      </c>
      <c r="P70" s="9">
        <f>(G70*K70)+(H70*가정!$C$15)</f>
        <v/>
      </c>
      <c r="Q70" s="9">
        <f>IF(가정!$C$5="간이과세",(G70+H70)*0.015,(G70+H70)/11-((L70+M70+N70+P70)/11)-IF(가정!$C$11="정식통관",I70*가정!$C$12,0))</f>
        <v/>
      </c>
      <c r="R70" s="9">
        <f>G70+H70-I70-L70-M70-N70-P70-Q70</f>
        <v/>
      </c>
      <c r="S70" s="9">
        <f>MAX(0,R70)*가정!$C$7</f>
        <v/>
      </c>
      <c r="T70" s="9">
        <f>G70*가정!$C$17</f>
        <v/>
      </c>
      <c r="U70" s="9">
        <f>R70-S70-T70</f>
        <v/>
      </c>
      <c r="V70" s="12">
        <f>IF(G70=0,"",U70/G70)</f>
        <v/>
      </c>
      <c r="X70" s="7" t="n"/>
      <c r="Y70" s="7" t="n"/>
      <c r="Z70" s="7" t="n"/>
      <c r="AA70" s="13" t="n"/>
      <c r="AB70" s="13" t="n"/>
      <c r="AC70" s="14" t="n"/>
      <c r="AD70" s="14" t="n"/>
      <c r="AE70" s="13" t="n"/>
      <c r="AF70" s="15">
        <f>IF((1-K70-가정!$C$16-가정!$C$17-가정!$C$27-1/11)&lt;=0,"",IFERROR((I70+L70+M70)/(1-K70-가정!$C$16-가정!$C$17-가정!$C$27-1/11),""))</f>
        <v/>
      </c>
      <c r="AG70" s="15">
        <f>IF(OR(AA70="",AF70=""),"",AA70-AF70)</f>
        <v/>
      </c>
      <c r="AH70" s="16">
        <f>IF(G70="","",IFERROR((IF(AE70="",0,가정!$C$31*MIN(1,LOG(AE70+1)/LOG(가정!$C$30)))+IF(AB70="",0,가정!$C$32*(MAX(0,1-AB70/가정!$C$29)*0.6+AC70*0.4))+IF(AD70="",0,가정!$C$33*MAX(0,1-AD70))+IF(V70="",0,가정!$C$34*MIN(1,MAX(0,(V70-가정!$C$27)/(가정!$C$28-가정!$C$27)))))/(IF(AE70="",0,가정!$C$31)+IF(AB70="",0,가정!$C$32)+IF(AD70="",0,가정!$C$33)+IF(V70="",0,가정!$C$34))*100,""))</f>
        <v/>
      </c>
      <c r="AI70" s="17">
        <f>IF(AH70="","",IF(U70&lt;=0,"역마진",IF(AH70&gt;=가정!$C$35,"GO",IF(AH70&gt;=가정!$C$36,"검토","SKIP"))))</f>
        <v/>
      </c>
    </row>
    <row r="71">
      <c r="B71" s="6" t="n">
        <v>64</v>
      </c>
      <c r="C71" s="7" t="n"/>
      <c r="E71" s="7" t="n"/>
      <c r="F71" s="7" t="n"/>
      <c r="G71" s="8" t="n"/>
      <c r="H71" s="8" t="n">
        <v>0</v>
      </c>
      <c r="I71" s="9">
        <f>J71*가정!$C$10</f>
        <v/>
      </c>
      <c r="J71" s="10" t="n"/>
      <c r="K71" s="11">
        <f>가정!$C$14</f>
        <v/>
      </c>
      <c r="L71" s="8" t="n"/>
      <c r="M71" s="8" t="n"/>
      <c r="N71" s="9">
        <f>IF(가정!$C$25="Y",가정!$C$24,G71*가정!$C$16)</f>
        <v/>
      </c>
      <c r="P71" s="9">
        <f>(G71*K71)+(H71*가정!$C$15)</f>
        <v/>
      </c>
      <c r="Q71" s="9">
        <f>IF(가정!$C$5="간이과세",(G71+H71)*0.015,(G71+H71)/11-((L71+M71+N71+P71)/11)-IF(가정!$C$11="정식통관",I71*가정!$C$12,0))</f>
        <v/>
      </c>
      <c r="R71" s="9">
        <f>G71+H71-I71-L71-M71-N71-P71-Q71</f>
        <v/>
      </c>
      <c r="S71" s="9">
        <f>MAX(0,R71)*가정!$C$7</f>
        <v/>
      </c>
      <c r="T71" s="9">
        <f>G71*가정!$C$17</f>
        <v/>
      </c>
      <c r="U71" s="9">
        <f>R71-S71-T71</f>
        <v/>
      </c>
      <c r="V71" s="12">
        <f>IF(G71=0,"",U71/G71)</f>
        <v/>
      </c>
      <c r="X71" s="7" t="n"/>
      <c r="Y71" s="7" t="n"/>
      <c r="Z71" s="7" t="n"/>
      <c r="AA71" s="13" t="n"/>
      <c r="AB71" s="13" t="n"/>
      <c r="AC71" s="14" t="n"/>
      <c r="AD71" s="14" t="n"/>
      <c r="AE71" s="13" t="n"/>
      <c r="AF71" s="15">
        <f>IF((1-K71-가정!$C$16-가정!$C$17-가정!$C$27-1/11)&lt;=0,"",IFERROR((I71+L71+M71)/(1-K71-가정!$C$16-가정!$C$17-가정!$C$27-1/11),""))</f>
        <v/>
      </c>
      <c r="AG71" s="15">
        <f>IF(OR(AA71="",AF71=""),"",AA71-AF71)</f>
        <v/>
      </c>
      <c r="AH71" s="16">
        <f>IF(G71="","",IFERROR((IF(AE71="",0,가정!$C$31*MIN(1,LOG(AE71+1)/LOG(가정!$C$30)))+IF(AB71="",0,가정!$C$32*(MAX(0,1-AB71/가정!$C$29)*0.6+AC71*0.4))+IF(AD71="",0,가정!$C$33*MAX(0,1-AD71))+IF(V71="",0,가정!$C$34*MIN(1,MAX(0,(V71-가정!$C$27)/(가정!$C$28-가정!$C$27)))))/(IF(AE71="",0,가정!$C$31)+IF(AB71="",0,가정!$C$32)+IF(AD71="",0,가정!$C$33)+IF(V71="",0,가정!$C$34))*100,""))</f>
        <v/>
      </c>
      <c r="AI71" s="17">
        <f>IF(AH71="","",IF(U71&lt;=0,"역마진",IF(AH71&gt;=가정!$C$35,"GO",IF(AH71&gt;=가정!$C$36,"검토","SKIP"))))</f>
        <v/>
      </c>
    </row>
    <row r="72">
      <c r="B72" s="6" t="n">
        <v>65</v>
      </c>
      <c r="C72" s="7" t="n"/>
      <c r="E72" s="7" t="n"/>
      <c r="F72" s="7" t="n"/>
      <c r="G72" s="8" t="n"/>
      <c r="H72" s="8" t="n">
        <v>0</v>
      </c>
      <c r="I72" s="9">
        <f>J72*가정!$C$10</f>
        <v/>
      </c>
      <c r="J72" s="10" t="n"/>
      <c r="K72" s="11">
        <f>가정!$C$14</f>
        <v/>
      </c>
      <c r="L72" s="8" t="n"/>
      <c r="M72" s="8" t="n"/>
      <c r="N72" s="9">
        <f>IF(가정!$C$25="Y",가정!$C$24,G72*가정!$C$16)</f>
        <v/>
      </c>
      <c r="P72" s="9">
        <f>(G72*K72)+(H72*가정!$C$15)</f>
        <v/>
      </c>
      <c r="Q72" s="9">
        <f>IF(가정!$C$5="간이과세",(G72+H72)*0.015,(G72+H72)/11-((L72+M72+N72+P72)/11)-IF(가정!$C$11="정식통관",I72*가정!$C$12,0))</f>
        <v/>
      </c>
      <c r="R72" s="9">
        <f>G72+H72-I72-L72-M72-N72-P72-Q72</f>
        <v/>
      </c>
      <c r="S72" s="9">
        <f>MAX(0,R72)*가정!$C$7</f>
        <v/>
      </c>
      <c r="T72" s="9">
        <f>G72*가정!$C$17</f>
        <v/>
      </c>
      <c r="U72" s="9">
        <f>R72-S72-T72</f>
        <v/>
      </c>
      <c r="V72" s="12">
        <f>IF(G72=0,"",U72/G72)</f>
        <v/>
      </c>
      <c r="X72" s="7" t="n"/>
      <c r="Y72" s="7" t="n"/>
      <c r="Z72" s="7" t="n"/>
      <c r="AA72" s="13" t="n"/>
      <c r="AB72" s="13" t="n"/>
      <c r="AC72" s="14" t="n"/>
      <c r="AD72" s="14" t="n"/>
      <c r="AE72" s="13" t="n"/>
      <c r="AF72" s="15">
        <f>IF((1-K72-가정!$C$16-가정!$C$17-가정!$C$27-1/11)&lt;=0,"",IFERROR((I72+L72+M72)/(1-K72-가정!$C$16-가정!$C$17-가정!$C$27-1/11),""))</f>
        <v/>
      </c>
      <c r="AG72" s="15">
        <f>IF(OR(AA72="",AF72=""),"",AA72-AF72)</f>
        <v/>
      </c>
      <c r="AH72" s="16">
        <f>IF(G72="","",IFERROR((IF(AE72="",0,가정!$C$31*MIN(1,LOG(AE72+1)/LOG(가정!$C$30)))+IF(AB72="",0,가정!$C$32*(MAX(0,1-AB72/가정!$C$29)*0.6+AC72*0.4))+IF(AD72="",0,가정!$C$33*MAX(0,1-AD72))+IF(V72="",0,가정!$C$34*MIN(1,MAX(0,(V72-가정!$C$27)/(가정!$C$28-가정!$C$27)))))/(IF(AE72="",0,가정!$C$31)+IF(AB72="",0,가정!$C$32)+IF(AD72="",0,가정!$C$33)+IF(V72="",0,가정!$C$34))*100,""))</f>
        <v/>
      </c>
      <c r="AI72" s="17">
        <f>IF(AH72="","",IF(U72&lt;=0,"역마진",IF(AH72&gt;=가정!$C$35,"GO",IF(AH72&gt;=가정!$C$36,"검토","SKIP"))))</f>
        <v/>
      </c>
    </row>
    <row r="73">
      <c r="B73" s="6" t="n">
        <v>66</v>
      </c>
      <c r="C73" s="7" t="n"/>
      <c r="E73" s="7" t="n"/>
      <c r="F73" s="7" t="n"/>
      <c r="G73" s="8" t="n"/>
      <c r="H73" s="8" t="n">
        <v>0</v>
      </c>
      <c r="I73" s="9">
        <f>J73*가정!$C$10</f>
        <v/>
      </c>
      <c r="J73" s="10" t="n"/>
      <c r="K73" s="11">
        <f>가정!$C$14</f>
        <v/>
      </c>
      <c r="L73" s="8" t="n"/>
      <c r="M73" s="8" t="n"/>
      <c r="N73" s="9">
        <f>IF(가정!$C$25="Y",가정!$C$24,G73*가정!$C$16)</f>
        <v/>
      </c>
      <c r="P73" s="9">
        <f>(G73*K73)+(H73*가정!$C$15)</f>
        <v/>
      </c>
      <c r="Q73" s="9">
        <f>IF(가정!$C$5="간이과세",(G73+H73)*0.015,(G73+H73)/11-((L73+M73+N73+P73)/11)-IF(가정!$C$11="정식통관",I73*가정!$C$12,0))</f>
        <v/>
      </c>
      <c r="R73" s="9">
        <f>G73+H73-I73-L73-M73-N73-P73-Q73</f>
        <v/>
      </c>
      <c r="S73" s="9">
        <f>MAX(0,R73)*가정!$C$7</f>
        <v/>
      </c>
      <c r="T73" s="9">
        <f>G73*가정!$C$17</f>
        <v/>
      </c>
      <c r="U73" s="9">
        <f>R73-S73-T73</f>
        <v/>
      </c>
      <c r="V73" s="12">
        <f>IF(G73=0,"",U73/G73)</f>
        <v/>
      </c>
      <c r="X73" s="7" t="n"/>
      <c r="Y73" s="7" t="n"/>
      <c r="Z73" s="7" t="n"/>
      <c r="AA73" s="13" t="n"/>
      <c r="AB73" s="13" t="n"/>
      <c r="AC73" s="14" t="n"/>
      <c r="AD73" s="14" t="n"/>
      <c r="AE73" s="13" t="n"/>
      <c r="AF73" s="15">
        <f>IF((1-K73-가정!$C$16-가정!$C$17-가정!$C$27-1/11)&lt;=0,"",IFERROR((I73+L73+M73)/(1-K73-가정!$C$16-가정!$C$17-가정!$C$27-1/11),""))</f>
        <v/>
      </c>
      <c r="AG73" s="15">
        <f>IF(OR(AA73="",AF73=""),"",AA73-AF73)</f>
        <v/>
      </c>
      <c r="AH73" s="16">
        <f>IF(G73="","",IFERROR((IF(AE73="",0,가정!$C$31*MIN(1,LOG(AE73+1)/LOG(가정!$C$30)))+IF(AB73="",0,가정!$C$32*(MAX(0,1-AB73/가정!$C$29)*0.6+AC73*0.4))+IF(AD73="",0,가정!$C$33*MAX(0,1-AD73))+IF(V73="",0,가정!$C$34*MIN(1,MAX(0,(V73-가정!$C$27)/(가정!$C$28-가정!$C$27)))))/(IF(AE73="",0,가정!$C$31)+IF(AB73="",0,가정!$C$32)+IF(AD73="",0,가정!$C$33)+IF(V73="",0,가정!$C$34))*100,""))</f>
        <v/>
      </c>
      <c r="AI73" s="17">
        <f>IF(AH73="","",IF(U73&lt;=0,"역마진",IF(AH73&gt;=가정!$C$35,"GO",IF(AH73&gt;=가정!$C$36,"검토","SKIP"))))</f>
        <v/>
      </c>
    </row>
    <row r="74">
      <c r="B74" s="6" t="n">
        <v>67</v>
      </c>
      <c r="C74" s="7" t="n"/>
      <c r="E74" s="7" t="n"/>
      <c r="F74" s="7" t="n"/>
      <c r="G74" s="8" t="n"/>
      <c r="H74" s="8" t="n">
        <v>0</v>
      </c>
      <c r="I74" s="9">
        <f>J74*가정!$C$10</f>
        <v/>
      </c>
      <c r="J74" s="10" t="n"/>
      <c r="K74" s="11">
        <f>가정!$C$14</f>
        <v/>
      </c>
      <c r="L74" s="8" t="n"/>
      <c r="M74" s="8" t="n"/>
      <c r="N74" s="9">
        <f>IF(가정!$C$25="Y",가정!$C$24,G74*가정!$C$16)</f>
        <v/>
      </c>
      <c r="P74" s="9">
        <f>(G74*K74)+(H74*가정!$C$15)</f>
        <v/>
      </c>
      <c r="Q74" s="9">
        <f>IF(가정!$C$5="간이과세",(G74+H74)*0.015,(G74+H74)/11-((L74+M74+N74+P74)/11)-IF(가정!$C$11="정식통관",I74*가정!$C$12,0))</f>
        <v/>
      </c>
      <c r="R74" s="9">
        <f>G74+H74-I74-L74-M74-N74-P74-Q74</f>
        <v/>
      </c>
      <c r="S74" s="9">
        <f>MAX(0,R74)*가정!$C$7</f>
        <v/>
      </c>
      <c r="T74" s="9">
        <f>G74*가정!$C$17</f>
        <v/>
      </c>
      <c r="U74" s="9">
        <f>R74-S74-T74</f>
        <v/>
      </c>
      <c r="V74" s="12">
        <f>IF(G74=0,"",U74/G74)</f>
        <v/>
      </c>
      <c r="X74" s="7" t="n"/>
      <c r="Y74" s="7" t="n"/>
      <c r="Z74" s="7" t="n"/>
      <c r="AA74" s="13" t="n"/>
      <c r="AB74" s="13" t="n"/>
      <c r="AC74" s="14" t="n"/>
      <c r="AD74" s="14" t="n"/>
      <c r="AE74" s="13" t="n"/>
      <c r="AF74" s="15">
        <f>IF((1-K74-가정!$C$16-가정!$C$17-가정!$C$27-1/11)&lt;=0,"",IFERROR((I74+L74+M74)/(1-K74-가정!$C$16-가정!$C$17-가정!$C$27-1/11),""))</f>
        <v/>
      </c>
      <c r="AG74" s="15">
        <f>IF(OR(AA74="",AF74=""),"",AA74-AF74)</f>
        <v/>
      </c>
      <c r="AH74" s="16">
        <f>IF(G74="","",IFERROR((IF(AE74="",0,가정!$C$31*MIN(1,LOG(AE74+1)/LOG(가정!$C$30)))+IF(AB74="",0,가정!$C$32*(MAX(0,1-AB74/가정!$C$29)*0.6+AC74*0.4))+IF(AD74="",0,가정!$C$33*MAX(0,1-AD74))+IF(V74="",0,가정!$C$34*MIN(1,MAX(0,(V74-가정!$C$27)/(가정!$C$28-가정!$C$27)))))/(IF(AE74="",0,가정!$C$31)+IF(AB74="",0,가정!$C$32)+IF(AD74="",0,가정!$C$33)+IF(V74="",0,가정!$C$34))*100,""))</f>
        <v/>
      </c>
      <c r="AI74" s="17">
        <f>IF(AH74="","",IF(U74&lt;=0,"역마진",IF(AH74&gt;=가정!$C$35,"GO",IF(AH74&gt;=가정!$C$36,"검토","SKIP"))))</f>
        <v/>
      </c>
    </row>
    <row r="75">
      <c r="B75" s="6" t="n">
        <v>68</v>
      </c>
      <c r="C75" s="7" t="n"/>
      <c r="E75" s="7" t="n"/>
      <c r="F75" s="7" t="n"/>
      <c r="G75" s="8" t="n"/>
      <c r="H75" s="8" t="n">
        <v>0</v>
      </c>
      <c r="I75" s="9">
        <f>J75*가정!$C$10</f>
        <v/>
      </c>
      <c r="J75" s="10" t="n"/>
      <c r="K75" s="11">
        <f>가정!$C$14</f>
        <v/>
      </c>
      <c r="L75" s="8" t="n"/>
      <c r="M75" s="8" t="n"/>
      <c r="N75" s="9">
        <f>IF(가정!$C$25="Y",가정!$C$24,G75*가정!$C$16)</f>
        <v/>
      </c>
      <c r="P75" s="9">
        <f>(G75*K75)+(H75*가정!$C$15)</f>
        <v/>
      </c>
      <c r="Q75" s="9">
        <f>IF(가정!$C$5="간이과세",(G75+H75)*0.015,(G75+H75)/11-((L75+M75+N75+P75)/11)-IF(가정!$C$11="정식통관",I75*가정!$C$12,0))</f>
        <v/>
      </c>
      <c r="R75" s="9">
        <f>G75+H75-I75-L75-M75-N75-P75-Q75</f>
        <v/>
      </c>
      <c r="S75" s="9">
        <f>MAX(0,R75)*가정!$C$7</f>
        <v/>
      </c>
      <c r="T75" s="9">
        <f>G75*가정!$C$17</f>
        <v/>
      </c>
      <c r="U75" s="9">
        <f>R75-S75-T75</f>
        <v/>
      </c>
      <c r="V75" s="12">
        <f>IF(G75=0,"",U75/G75)</f>
        <v/>
      </c>
      <c r="X75" s="7" t="n"/>
      <c r="Y75" s="7" t="n"/>
      <c r="Z75" s="7" t="n"/>
      <c r="AA75" s="13" t="n"/>
      <c r="AB75" s="13" t="n"/>
      <c r="AC75" s="14" t="n"/>
      <c r="AD75" s="14" t="n"/>
      <c r="AE75" s="13" t="n"/>
      <c r="AF75" s="15">
        <f>IF((1-K75-가정!$C$16-가정!$C$17-가정!$C$27-1/11)&lt;=0,"",IFERROR((I75+L75+M75)/(1-K75-가정!$C$16-가정!$C$17-가정!$C$27-1/11),""))</f>
        <v/>
      </c>
      <c r="AG75" s="15">
        <f>IF(OR(AA75="",AF75=""),"",AA75-AF75)</f>
        <v/>
      </c>
      <c r="AH75" s="16">
        <f>IF(G75="","",IFERROR((IF(AE75="",0,가정!$C$31*MIN(1,LOG(AE75+1)/LOG(가정!$C$30)))+IF(AB75="",0,가정!$C$32*(MAX(0,1-AB75/가정!$C$29)*0.6+AC75*0.4))+IF(AD75="",0,가정!$C$33*MAX(0,1-AD75))+IF(V75="",0,가정!$C$34*MIN(1,MAX(0,(V75-가정!$C$27)/(가정!$C$28-가정!$C$27)))))/(IF(AE75="",0,가정!$C$31)+IF(AB75="",0,가정!$C$32)+IF(AD75="",0,가정!$C$33)+IF(V75="",0,가정!$C$34))*100,""))</f>
        <v/>
      </c>
      <c r="AI75" s="17">
        <f>IF(AH75="","",IF(U75&lt;=0,"역마진",IF(AH75&gt;=가정!$C$35,"GO",IF(AH75&gt;=가정!$C$36,"검토","SKIP"))))</f>
        <v/>
      </c>
    </row>
    <row r="76">
      <c r="B76" s="6" t="n">
        <v>69</v>
      </c>
      <c r="C76" s="7" t="n"/>
      <c r="E76" s="7" t="n"/>
      <c r="F76" s="7" t="n"/>
      <c r="G76" s="8" t="n"/>
      <c r="H76" s="8" t="n">
        <v>0</v>
      </c>
      <c r="I76" s="9">
        <f>J76*가정!$C$10</f>
        <v/>
      </c>
      <c r="J76" s="10" t="n"/>
      <c r="K76" s="11">
        <f>가정!$C$14</f>
        <v/>
      </c>
      <c r="L76" s="8" t="n"/>
      <c r="M76" s="8" t="n"/>
      <c r="N76" s="9">
        <f>IF(가정!$C$25="Y",가정!$C$24,G76*가정!$C$16)</f>
        <v/>
      </c>
      <c r="P76" s="9">
        <f>(G76*K76)+(H76*가정!$C$15)</f>
        <v/>
      </c>
      <c r="Q76" s="9">
        <f>IF(가정!$C$5="간이과세",(G76+H76)*0.015,(G76+H76)/11-((L76+M76+N76+P76)/11)-IF(가정!$C$11="정식통관",I76*가정!$C$12,0))</f>
        <v/>
      </c>
      <c r="R76" s="9">
        <f>G76+H76-I76-L76-M76-N76-P76-Q76</f>
        <v/>
      </c>
      <c r="S76" s="9">
        <f>MAX(0,R76)*가정!$C$7</f>
        <v/>
      </c>
      <c r="T76" s="9">
        <f>G76*가정!$C$17</f>
        <v/>
      </c>
      <c r="U76" s="9">
        <f>R76-S76-T76</f>
        <v/>
      </c>
      <c r="V76" s="12">
        <f>IF(G76=0,"",U76/G76)</f>
        <v/>
      </c>
      <c r="X76" s="7" t="n"/>
      <c r="Y76" s="7" t="n"/>
      <c r="Z76" s="7" t="n"/>
      <c r="AA76" s="13" t="n"/>
      <c r="AB76" s="13" t="n"/>
      <c r="AC76" s="14" t="n"/>
      <c r="AD76" s="14" t="n"/>
      <c r="AE76" s="13" t="n"/>
      <c r="AF76" s="15">
        <f>IF((1-K76-가정!$C$16-가정!$C$17-가정!$C$27-1/11)&lt;=0,"",IFERROR((I76+L76+M76)/(1-K76-가정!$C$16-가정!$C$17-가정!$C$27-1/11),""))</f>
        <v/>
      </c>
      <c r="AG76" s="15">
        <f>IF(OR(AA76="",AF76=""),"",AA76-AF76)</f>
        <v/>
      </c>
      <c r="AH76" s="16">
        <f>IF(G76="","",IFERROR((IF(AE76="",0,가정!$C$31*MIN(1,LOG(AE76+1)/LOG(가정!$C$30)))+IF(AB76="",0,가정!$C$32*(MAX(0,1-AB76/가정!$C$29)*0.6+AC76*0.4))+IF(AD76="",0,가정!$C$33*MAX(0,1-AD76))+IF(V76="",0,가정!$C$34*MIN(1,MAX(0,(V76-가정!$C$27)/(가정!$C$28-가정!$C$27)))))/(IF(AE76="",0,가정!$C$31)+IF(AB76="",0,가정!$C$32)+IF(AD76="",0,가정!$C$33)+IF(V76="",0,가정!$C$34))*100,""))</f>
        <v/>
      </c>
      <c r="AI76" s="17">
        <f>IF(AH76="","",IF(U76&lt;=0,"역마진",IF(AH76&gt;=가정!$C$35,"GO",IF(AH76&gt;=가정!$C$36,"검토","SKIP"))))</f>
        <v/>
      </c>
    </row>
    <row r="77">
      <c r="B77" s="6" t="n">
        <v>70</v>
      </c>
      <c r="C77" s="7" t="n"/>
      <c r="E77" s="7" t="n"/>
      <c r="F77" s="7" t="n"/>
      <c r="G77" s="8" t="n"/>
      <c r="H77" s="8" t="n">
        <v>0</v>
      </c>
      <c r="I77" s="9">
        <f>J77*가정!$C$10</f>
        <v/>
      </c>
      <c r="J77" s="10" t="n"/>
      <c r="K77" s="11">
        <f>가정!$C$14</f>
        <v/>
      </c>
      <c r="L77" s="8" t="n"/>
      <c r="M77" s="8" t="n"/>
      <c r="N77" s="9">
        <f>IF(가정!$C$25="Y",가정!$C$24,G77*가정!$C$16)</f>
        <v/>
      </c>
      <c r="P77" s="9">
        <f>(G77*K77)+(H77*가정!$C$15)</f>
        <v/>
      </c>
      <c r="Q77" s="9">
        <f>IF(가정!$C$5="간이과세",(G77+H77)*0.015,(G77+H77)/11-((L77+M77+N77+P77)/11)-IF(가정!$C$11="정식통관",I77*가정!$C$12,0))</f>
        <v/>
      </c>
      <c r="R77" s="9">
        <f>G77+H77-I77-L77-M77-N77-P77-Q77</f>
        <v/>
      </c>
      <c r="S77" s="9">
        <f>MAX(0,R77)*가정!$C$7</f>
        <v/>
      </c>
      <c r="T77" s="9">
        <f>G77*가정!$C$17</f>
        <v/>
      </c>
      <c r="U77" s="9">
        <f>R77-S77-T77</f>
        <v/>
      </c>
      <c r="V77" s="12">
        <f>IF(G77=0,"",U77/G77)</f>
        <v/>
      </c>
      <c r="X77" s="7" t="n"/>
      <c r="Y77" s="7" t="n"/>
      <c r="Z77" s="7" t="n"/>
      <c r="AA77" s="13" t="n"/>
      <c r="AB77" s="13" t="n"/>
      <c r="AC77" s="14" t="n"/>
      <c r="AD77" s="14" t="n"/>
      <c r="AE77" s="13" t="n"/>
      <c r="AF77" s="15">
        <f>IF((1-K77-가정!$C$16-가정!$C$17-가정!$C$27-1/11)&lt;=0,"",IFERROR((I77+L77+M77)/(1-K77-가정!$C$16-가정!$C$17-가정!$C$27-1/11),""))</f>
        <v/>
      </c>
      <c r="AG77" s="15">
        <f>IF(OR(AA77="",AF77=""),"",AA77-AF77)</f>
        <v/>
      </c>
      <c r="AH77" s="16">
        <f>IF(G77="","",IFERROR((IF(AE77="",0,가정!$C$31*MIN(1,LOG(AE77+1)/LOG(가정!$C$30)))+IF(AB77="",0,가정!$C$32*(MAX(0,1-AB77/가정!$C$29)*0.6+AC77*0.4))+IF(AD77="",0,가정!$C$33*MAX(0,1-AD77))+IF(V77="",0,가정!$C$34*MIN(1,MAX(0,(V77-가정!$C$27)/(가정!$C$28-가정!$C$27)))))/(IF(AE77="",0,가정!$C$31)+IF(AB77="",0,가정!$C$32)+IF(AD77="",0,가정!$C$33)+IF(V77="",0,가정!$C$34))*100,""))</f>
        <v/>
      </c>
      <c r="AI77" s="17">
        <f>IF(AH77="","",IF(U77&lt;=0,"역마진",IF(AH77&gt;=가정!$C$35,"GO",IF(AH77&gt;=가정!$C$36,"검토","SKIP"))))</f>
        <v/>
      </c>
    </row>
    <row r="78">
      <c r="B78" s="6" t="n">
        <v>71</v>
      </c>
      <c r="C78" s="7" t="n"/>
      <c r="E78" s="7" t="n"/>
      <c r="F78" s="7" t="n"/>
      <c r="G78" s="8" t="n"/>
      <c r="H78" s="8" t="n">
        <v>0</v>
      </c>
      <c r="I78" s="9">
        <f>J78*가정!$C$10</f>
        <v/>
      </c>
      <c r="J78" s="10" t="n"/>
      <c r="K78" s="11">
        <f>가정!$C$14</f>
        <v/>
      </c>
      <c r="L78" s="8" t="n"/>
      <c r="M78" s="8" t="n"/>
      <c r="N78" s="9">
        <f>IF(가정!$C$25="Y",가정!$C$24,G78*가정!$C$16)</f>
        <v/>
      </c>
      <c r="P78" s="9">
        <f>(G78*K78)+(H78*가정!$C$15)</f>
        <v/>
      </c>
      <c r="Q78" s="9">
        <f>IF(가정!$C$5="간이과세",(G78+H78)*0.015,(G78+H78)/11-((L78+M78+N78+P78)/11)-IF(가정!$C$11="정식통관",I78*가정!$C$12,0))</f>
        <v/>
      </c>
      <c r="R78" s="9">
        <f>G78+H78-I78-L78-M78-N78-P78-Q78</f>
        <v/>
      </c>
      <c r="S78" s="9">
        <f>MAX(0,R78)*가정!$C$7</f>
        <v/>
      </c>
      <c r="T78" s="9">
        <f>G78*가정!$C$17</f>
        <v/>
      </c>
      <c r="U78" s="9">
        <f>R78-S78-T78</f>
        <v/>
      </c>
      <c r="V78" s="12">
        <f>IF(G78=0,"",U78/G78)</f>
        <v/>
      </c>
      <c r="X78" s="7" t="n"/>
      <c r="Y78" s="7" t="n"/>
      <c r="Z78" s="7" t="n"/>
      <c r="AA78" s="13" t="n"/>
      <c r="AB78" s="13" t="n"/>
      <c r="AC78" s="14" t="n"/>
      <c r="AD78" s="14" t="n"/>
      <c r="AE78" s="13" t="n"/>
      <c r="AF78" s="15">
        <f>IF((1-K78-가정!$C$16-가정!$C$17-가정!$C$27-1/11)&lt;=0,"",IFERROR((I78+L78+M78)/(1-K78-가정!$C$16-가정!$C$17-가정!$C$27-1/11),""))</f>
        <v/>
      </c>
      <c r="AG78" s="15">
        <f>IF(OR(AA78="",AF78=""),"",AA78-AF78)</f>
        <v/>
      </c>
      <c r="AH78" s="16">
        <f>IF(G78="","",IFERROR((IF(AE78="",0,가정!$C$31*MIN(1,LOG(AE78+1)/LOG(가정!$C$30)))+IF(AB78="",0,가정!$C$32*(MAX(0,1-AB78/가정!$C$29)*0.6+AC78*0.4))+IF(AD78="",0,가정!$C$33*MAX(0,1-AD78))+IF(V78="",0,가정!$C$34*MIN(1,MAX(0,(V78-가정!$C$27)/(가정!$C$28-가정!$C$27)))))/(IF(AE78="",0,가정!$C$31)+IF(AB78="",0,가정!$C$32)+IF(AD78="",0,가정!$C$33)+IF(V78="",0,가정!$C$34))*100,""))</f>
        <v/>
      </c>
      <c r="AI78" s="17">
        <f>IF(AH78="","",IF(U78&lt;=0,"역마진",IF(AH78&gt;=가정!$C$35,"GO",IF(AH78&gt;=가정!$C$36,"검토","SKIP"))))</f>
        <v/>
      </c>
    </row>
    <row r="79">
      <c r="B79" s="6" t="n">
        <v>72</v>
      </c>
      <c r="C79" s="7" t="n"/>
      <c r="E79" s="7" t="n"/>
      <c r="F79" s="7" t="n"/>
      <c r="G79" s="8" t="n"/>
      <c r="H79" s="8" t="n">
        <v>0</v>
      </c>
      <c r="I79" s="9">
        <f>J79*가정!$C$10</f>
        <v/>
      </c>
      <c r="J79" s="10" t="n"/>
      <c r="K79" s="11">
        <f>가정!$C$14</f>
        <v/>
      </c>
      <c r="L79" s="8" t="n"/>
      <c r="M79" s="8" t="n"/>
      <c r="N79" s="9">
        <f>IF(가정!$C$25="Y",가정!$C$24,G79*가정!$C$16)</f>
        <v/>
      </c>
      <c r="P79" s="9">
        <f>(G79*K79)+(H79*가정!$C$15)</f>
        <v/>
      </c>
      <c r="Q79" s="9">
        <f>IF(가정!$C$5="간이과세",(G79+H79)*0.015,(G79+H79)/11-((L79+M79+N79+P79)/11)-IF(가정!$C$11="정식통관",I79*가정!$C$12,0))</f>
        <v/>
      </c>
      <c r="R79" s="9">
        <f>G79+H79-I79-L79-M79-N79-P79-Q79</f>
        <v/>
      </c>
      <c r="S79" s="9">
        <f>MAX(0,R79)*가정!$C$7</f>
        <v/>
      </c>
      <c r="T79" s="9">
        <f>G79*가정!$C$17</f>
        <v/>
      </c>
      <c r="U79" s="9">
        <f>R79-S79-T79</f>
        <v/>
      </c>
      <c r="V79" s="12">
        <f>IF(G79=0,"",U79/G79)</f>
        <v/>
      </c>
      <c r="X79" s="7" t="n"/>
      <c r="Y79" s="7" t="n"/>
      <c r="Z79" s="7" t="n"/>
      <c r="AA79" s="13" t="n"/>
      <c r="AB79" s="13" t="n"/>
      <c r="AC79" s="14" t="n"/>
      <c r="AD79" s="14" t="n"/>
      <c r="AE79" s="13" t="n"/>
      <c r="AF79" s="15">
        <f>IF((1-K79-가정!$C$16-가정!$C$17-가정!$C$27-1/11)&lt;=0,"",IFERROR((I79+L79+M79)/(1-K79-가정!$C$16-가정!$C$17-가정!$C$27-1/11),""))</f>
        <v/>
      </c>
      <c r="AG79" s="15">
        <f>IF(OR(AA79="",AF79=""),"",AA79-AF79)</f>
        <v/>
      </c>
      <c r="AH79" s="16">
        <f>IF(G79="","",IFERROR((IF(AE79="",0,가정!$C$31*MIN(1,LOG(AE79+1)/LOG(가정!$C$30)))+IF(AB79="",0,가정!$C$32*(MAX(0,1-AB79/가정!$C$29)*0.6+AC79*0.4))+IF(AD79="",0,가정!$C$33*MAX(0,1-AD79))+IF(V79="",0,가정!$C$34*MIN(1,MAX(0,(V79-가정!$C$27)/(가정!$C$28-가정!$C$27)))))/(IF(AE79="",0,가정!$C$31)+IF(AB79="",0,가정!$C$32)+IF(AD79="",0,가정!$C$33)+IF(V79="",0,가정!$C$34))*100,""))</f>
        <v/>
      </c>
      <c r="AI79" s="17">
        <f>IF(AH79="","",IF(U79&lt;=0,"역마진",IF(AH79&gt;=가정!$C$35,"GO",IF(AH79&gt;=가정!$C$36,"검토","SKIP"))))</f>
        <v/>
      </c>
    </row>
    <row r="80">
      <c r="B80" s="6" t="n">
        <v>73</v>
      </c>
      <c r="C80" s="7" t="n"/>
      <c r="E80" s="7" t="n"/>
      <c r="F80" s="7" t="n"/>
      <c r="G80" s="8" t="n"/>
      <c r="H80" s="8" t="n">
        <v>0</v>
      </c>
      <c r="I80" s="9">
        <f>J80*가정!$C$10</f>
        <v/>
      </c>
      <c r="J80" s="10" t="n"/>
      <c r="K80" s="11">
        <f>가정!$C$14</f>
        <v/>
      </c>
      <c r="L80" s="8" t="n"/>
      <c r="M80" s="8" t="n"/>
      <c r="N80" s="9">
        <f>IF(가정!$C$25="Y",가정!$C$24,G80*가정!$C$16)</f>
        <v/>
      </c>
      <c r="P80" s="9">
        <f>(G80*K80)+(H80*가정!$C$15)</f>
        <v/>
      </c>
      <c r="Q80" s="9">
        <f>IF(가정!$C$5="간이과세",(G80+H80)*0.015,(G80+H80)/11-((L80+M80+N80+P80)/11)-IF(가정!$C$11="정식통관",I80*가정!$C$12,0))</f>
        <v/>
      </c>
      <c r="R80" s="9">
        <f>G80+H80-I80-L80-M80-N80-P80-Q80</f>
        <v/>
      </c>
      <c r="S80" s="9">
        <f>MAX(0,R80)*가정!$C$7</f>
        <v/>
      </c>
      <c r="T80" s="9">
        <f>G80*가정!$C$17</f>
        <v/>
      </c>
      <c r="U80" s="9">
        <f>R80-S80-T80</f>
        <v/>
      </c>
      <c r="V80" s="12">
        <f>IF(G80=0,"",U80/G80)</f>
        <v/>
      </c>
      <c r="X80" s="7" t="n"/>
      <c r="Y80" s="7" t="n"/>
      <c r="Z80" s="7" t="n"/>
      <c r="AA80" s="13" t="n"/>
      <c r="AB80" s="13" t="n"/>
      <c r="AC80" s="14" t="n"/>
      <c r="AD80" s="14" t="n"/>
      <c r="AE80" s="13" t="n"/>
      <c r="AF80" s="15">
        <f>IF((1-K80-가정!$C$16-가정!$C$17-가정!$C$27-1/11)&lt;=0,"",IFERROR((I80+L80+M80)/(1-K80-가정!$C$16-가정!$C$17-가정!$C$27-1/11),""))</f>
        <v/>
      </c>
      <c r="AG80" s="15">
        <f>IF(OR(AA80="",AF80=""),"",AA80-AF80)</f>
        <v/>
      </c>
      <c r="AH80" s="16">
        <f>IF(G80="","",IFERROR((IF(AE80="",0,가정!$C$31*MIN(1,LOG(AE80+1)/LOG(가정!$C$30)))+IF(AB80="",0,가정!$C$32*(MAX(0,1-AB80/가정!$C$29)*0.6+AC80*0.4))+IF(AD80="",0,가정!$C$33*MAX(0,1-AD80))+IF(V80="",0,가정!$C$34*MIN(1,MAX(0,(V80-가정!$C$27)/(가정!$C$28-가정!$C$27)))))/(IF(AE80="",0,가정!$C$31)+IF(AB80="",0,가정!$C$32)+IF(AD80="",0,가정!$C$33)+IF(V80="",0,가정!$C$34))*100,""))</f>
        <v/>
      </c>
      <c r="AI80" s="17">
        <f>IF(AH80="","",IF(U80&lt;=0,"역마진",IF(AH80&gt;=가정!$C$35,"GO",IF(AH80&gt;=가정!$C$36,"검토","SKIP"))))</f>
        <v/>
      </c>
    </row>
    <row r="81">
      <c r="B81" s="6" t="n">
        <v>74</v>
      </c>
      <c r="C81" s="7" t="n"/>
      <c r="E81" s="7" t="n"/>
      <c r="F81" s="7" t="n"/>
      <c r="G81" s="8" t="n"/>
      <c r="H81" s="8" t="n">
        <v>0</v>
      </c>
      <c r="I81" s="9">
        <f>J81*가정!$C$10</f>
        <v/>
      </c>
      <c r="J81" s="10" t="n"/>
      <c r="K81" s="11">
        <f>가정!$C$14</f>
        <v/>
      </c>
      <c r="L81" s="8" t="n"/>
      <c r="M81" s="8" t="n"/>
      <c r="N81" s="9">
        <f>IF(가정!$C$25="Y",가정!$C$24,G81*가정!$C$16)</f>
        <v/>
      </c>
      <c r="P81" s="9">
        <f>(G81*K81)+(H81*가정!$C$15)</f>
        <v/>
      </c>
      <c r="Q81" s="9">
        <f>IF(가정!$C$5="간이과세",(G81+H81)*0.015,(G81+H81)/11-((L81+M81+N81+P81)/11)-IF(가정!$C$11="정식통관",I81*가정!$C$12,0))</f>
        <v/>
      </c>
      <c r="R81" s="9">
        <f>G81+H81-I81-L81-M81-N81-P81-Q81</f>
        <v/>
      </c>
      <c r="S81" s="9">
        <f>MAX(0,R81)*가정!$C$7</f>
        <v/>
      </c>
      <c r="T81" s="9">
        <f>G81*가정!$C$17</f>
        <v/>
      </c>
      <c r="U81" s="9">
        <f>R81-S81-T81</f>
        <v/>
      </c>
      <c r="V81" s="12">
        <f>IF(G81=0,"",U81/G81)</f>
        <v/>
      </c>
      <c r="X81" s="7" t="n"/>
      <c r="Y81" s="7" t="n"/>
      <c r="Z81" s="7" t="n"/>
      <c r="AA81" s="13" t="n"/>
      <c r="AB81" s="13" t="n"/>
      <c r="AC81" s="14" t="n"/>
      <c r="AD81" s="14" t="n"/>
      <c r="AE81" s="13" t="n"/>
      <c r="AF81" s="15">
        <f>IF((1-K81-가정!$C$16-가정!$C$17-가정!$C$27-1/11)&lt;=0,"",IFERROR((I81+L81+M81)/(1-K81-가정!$C$16-가정!$C$17-가정!$C$27-1/11),""))</f>
        <v/>
      </c>
      <c r="AG81" s="15">
        <f>IF(OR(AA81="",AF81=""),"",AA81-AF81)</f>
        <v/>
      </c>
      <c r="AH81" s="16">
        <f>IF(G81="","",IFERROR((IF(AE81="",0,가정!$C$31*MIN(1,LOG(AE81+1)/LOG(가정!$C$30)))+IF(AB81="",0,가정!$C$32*(MAX(0,1-AB81/가정!$C$29)*0.6+AC81*0.4))+IF(AD81="",0,가정!$C$33*MAX(0,1-AD81))+IF(V81="",0,가정!$C$34*MIN(1,MAX(0,(V81-가정!$C$27)/(가정!$C$28-가정!$C$27)))))/(IF(AE81="",0,가정!$C$31)+IF(AB81="",0,가정!$C$32)+IF(AD81="",0,가정!$C$33)+IF(V81="",0,가정!$C$34))*100,""))</f>
        <v/>
      </c>
      <c r="AI81" s="17">
        <f>IF(AH81="","",IF(U81&lt;=0,"역마진",IF(AH81&gt;=가정!$C$35,"GO",IF(AH81&gt;=가정!$C$36,"검토","SKIP"))))</f>
        <v/>
      </c>
    </row>
    <row r="82">
      <c r="B82" s="6" t="n">
        <v>75</v>
      </c>
      <c r="C82" s="7" t="n"/>
      <c r="E82" s="7" t="n"/>
      <c r="F82" s="7" t="n"/>
      <c r="G82" s="8" t="n"/>
      <c r="H82" s="8" t="n">
        <v>0</v>
      </c>
      <c r="I82" s="9">
        <f>J82*가정!$C$10</f>
        <v/>
      </c>
      <c r="J82" s="10" t="n"/>
      <c r="K82" s="11">
        <f>가정!$C$14</f>
        <v/>
      </c>
      <c r="L82" s="8" t="n"/>
      <c r="M82" s="8" t="n"/>
      <c r="N82" s="9">
        <f>IF(가정!$C$25="Y",가정!$C$24,G82*가정!$C$16)</f>
        <v/>
      </c>
      <c r="P82" s="9">
        <f>(G82*K82)+(H82*가정!$C$15)</f>
        <v/>
      </c>
      <c r="Q82" s="9">
        <f>IF(가정!$C$5="간이과세",(G82+H82)*0.015,(G82+H82)/11-((L82+M82+N82+P82)/11)-IF(가정!$C$11="정식통관",I82*가정!$C$12,0))</f>
        <v/>
      </c>
      <c r="R82" s="9">
        <f>G82+H82-I82-L82-M82-N82-P82-Q82</f>
        <v/>
      </c>
      <c r="S82" s="9">
        <f>MAX(0,R82)*가정!$C$7</f>
        <v/>
      </c>
      <c r="T82" s="9">
        <f>G82*가정!$C$17</f>
        <v/>
      </c>
      <c r="U82" s="9">
        <f>R82-S82-T82</f>
        <v/>
      </c>
      <c r="V82" s="12">
        <f>IF(G82=0,"",U82/G82)</f>
        <v/>
      </c>
      <c r="X82" s="7" t="n"/>
      <c r="Y82" s="7" t="n"/>
      <c r="Z82" s="7" t="n"/>
      <c r="AA82" s="13" t="n"/>
      <c r="AB82" s="13" t="n"/>
      <c r="AC82" s="14" t="n"/>
      <c r="AD82" s="14" t="n"/>
      <c r="AE82" s="13" t="n"/>
      <c r="AF82" s="15">
        <f>IF((1-K82-가정!$C$16-가정!$C$17-가정!$C$27-1/11)&lt;=0,"",IFERROR((I82+L82+M82)/(1-K82-가정!$C$16-가정!$C$17-가정!$C$27-1/11),""))</f>
        <v/>
      </c>
      <c r="AG82" s="15">
        <f>IF(OR(AA82="",AF82=""),"",AA82-AF82)</f>
        <v/>
      </c>
      <c r="AH82" s="16">
        <f>IF(G82="","",IFERROR((IF(AE82="",0,가정!$C$31*MIN(1,LOG(AE82+1)/LOG(가정!$C$30)))+IF(AB82="",0,가정!$C$32*(MAX(0,1-AB82/가정!$C$29)*0.6+AC82*0.4))+IF(AD82="",0,가정!$C$33*MAX(0,1-AD82))+IF(V82="",0,가정!$C$34*MIN(1,MAX(0,(V82-가정!$C$27)/(가정!$C$28-가정!$C$27)))))/(IF(AE82="",0,가정!$C$31)+IF(AB82="",0,가정!$C$32)+IF(AD82="",0,가정!$C$33)+IF(V82="",0,가정!$C$34))*100,""))</f>
        <v/>
      </c>
      <c r="AI82" s="17">
        <f>IF(AH82="","",IF(U82&lt;=0,"역마진",IF(AH82&gt;=가정!$C$35,"GO",IF(AH82&gt;=가정!$C$36,"검토","SKIP"))))</f>
        <v/>
      </c>
    </row>
    <row r="83">
      <c r="B83" s="6" t="n">
        <v>76</v>
      </c>
      <c r="C83" s="7" t="n"/>
      <c r="E83" s="7" t="n"/>
      <c r="F83" s="7" t="n"/>
      <c r="G83" s="8" t="n"/>
      <c r="H83" s="8" t="n">
        <v>0</v>
      </c>
      <c r="I83" s="9">
        <f>J83*가정!$C$10</f>
        <v/>
      </c>
      <c r="J83" s="10" t="n"/>
      <c r="K83" s="11">
        <f>가정!$C$14</f>
        <v/>
      </c>
      <c r="L83" s="8" t="n"/>
      <c r="M83" s="8" t="n"/>
      <c r="N83" s="9">
        <f>IF(가정!$C$25="Y",가정!$C$24,G83*가정!$C$16)</f>
        <v/>
      </c>
      <c r="P83" s="9">
        <f>(G83*K83)+(H83*가정!$C$15)</f>
        <v/>
      </c>
      <c r="Q83" s="9">
        <f>IF(가정!$C$5="간이과세",(G83+H83)*0.015,(G83+H83)/11-((L83+M83+N83+P83)/11)-IF(가정!$C$11="정식통관",I83*가정!$C$12,0))</f>
        <v/>
      </c>
      <c r="R83" s="9">
        <f>G83+H83-I83-L83-M83-N83-P83-Q83</f>
        <v/>
      </c>
      <c r="S83" s="9">
        <f>MAX(0,R83)*가정!$C$7</f>
        <v/>
      </c>
      <c r="T83" s="9">
        <f>G83*가정!$C$17</f>
        <v/>
      </c>
      <c r="U83" s="9">
        <f>R83-S83-T83</f>
        <v/>
      </c>
      <c r="V83" s="12">
        <f>IF(G83=0,"",U83/G83)</f>
        <v/>
      </c>
      <c r="X83" s="7" t="n"/>
      <c r="Y83" s="7" t="n"/>
      <c r="Z83" s="7" t="n"/>
      <c r="AA83" s="13" t="n"/>
      <c r="AB83" s="13" t="n"/>
      <c r="AC83" s="14" t="n"/>
      <c r="AD83" s="14" t="n"/>
      <c r="AE83" s="13" t="n"/>
      <c r="AF83" s="15">
        <f>IF((1-K83-가정!$C$16-가정!$C$17-가정!$C$27-1/11)&lt;=0,"",IFERROR((I83+L83+M83)/(1-K83-가정!$C$16-가정!$C$17-가정!$C$27-1/11),""))</f>
        <v/>
      </c>
      <c r="AG83" s="15">
        <f>IF(OR(AA83="",AF83=""),"",AA83-AF83)</f>
        <v/>
      </c>
      <c r="AH83" s="16">
        <f>IF(G83="","",IFERROR((IF(AE83="",0,가정!$C$31*MIN(1,LOG(AE83+1)/LOG(가정!$C$30)))+IF(AB83="",0,가정!$C$32*(MAX(0,1-AB83/가정!$C$29)*0.6+AC83*0.4))+IF(AD83="",0,가정!$C$33*MAX(0,1-AD83))+IF(V83="",0,가정!$C$34*MIN(1,MAX(0,(V83-가정!$C$27)/(가정!$C$28-가정!$C$27)))))/(IF(AE83="",0,가정!$C$31)+IF(AB83="",0,가정!$C$32)+IF(AD83="",0,가정!$C$33)+IF(V83="",0,가정!$C$34))*100,""))</f>
        <v/>
      </c>
      <c r="AI83" s="17">
        <f>IF(AH83="","",IF(U83&lt;=0,"역마진",IF(AH83&gt;=가정!$C$35,"GO",IF(AH83&gt;=가정!$C$36,"검토","SKIP"))))</f>
        <v/>
      </c>
    </row>
    <row r="84">
      <c r="B84" s="6" t="n">
        <v>77</v>
      </c>
      <c r="C84" s="7" t="n"/>
      <c r="E84" s="7" t="n"/>
      <c r="F84" s="7" t="n"/>
      <c r="G84" s="8" t="n"/>
      <c r="H84" s="8" t="n">
        <v>0</v>
      </c>
      <c r="I84" s="9">
        <f>J84*가정!$C$10</f>
        <v/>
      </c>
      <c r="J84" s="10" t="n"/>
      <c r="K84" s="11">
        <f>가정!$C$14</f>
        <v/>
      </c>
      <c r="L84" s="8" t="n"/>
      <c r="M84" s="8" t="n"/>
      <c r="N84" s="9">
        <f>IF(가정!$C$25="Y",가정!$C$24,G84*가정!$C$16)</f>
        <v/>
      </c>
      <c r="P84" s="9">
        <f>(G84*K84)+(H84*가정!$C$15)</f>
        <v/>
      </c>
      <c r="Q84" s="9">
        <f>IF(가정!$C$5="간이과세",(G84+H84)*0.015,(G84+H84)/11-((L84+M84+N84+P84)/11)-IF(가정!$C$11="정식통관",I84*가정!$C$12,0))</f>
        <v/>
      </c>
      <c r="R84" s="9">
        <f>G84+H84-I84-L84-M84-N84-P84-Q84</f>
        <v/>
      </c>
      <c r="S84" s="9">
        <f>MAX(0,R84)*가정!$C$7</f>
        <v/>
      </c>
      <c r="T84" s="9">
        <f>G84*가정!$C$17</f>
        <v/>
      </c>
      <c r="U84" s="9">
        <f>R84-S84-T84</f>
        <v/>
      </c>
      <c r="V84" s="12">
        <f>IF(G84=0,"",U84/G84)</f>
        <v/>
      </c>
      <c r="X84" s="7" t="n"/>
      <c r="Y84" s="7" t="n"/>
      <c r="Z84" s="7" t="n"/>
      <c r="AA84" s="13" t="n"/>
      <c r="AB84" s="13" t="n"/>
      <c r="AC84" s="14" t="n"/>
      <c r="AD84" s="14" t="n"/>
      <c r="AE84" s="13" t="n"/>
      <c r="AF84" s="15">
        <f>IF((1-K84-가정!$C$16-가정!$C$17-가정!$C$27-1/11)&lt;=0,"",IFERROR((I84+L84+M84)/(1-K84-가정!$C$16-가정!$C$17-가정!$C$27-1/11),""))</f>
        <v/>
      </c>
      <c r="AG84" s="15">
        <f>IF(OR(AA84="",AF84=""),"",AA84-AF84)</f>
        <v/>
      </c>
      <c r="AH84" s="16">
        <f>IF(G84="","",IFERROR((IF(AE84="",0,가정!$C$31*MIN(1,LOG(AE84+1)/LOG(가정!$C$30)))+IF(AB84="",0,가정!$C$32*(MAX(0,1-AB84/가정!$C$29)*0.6+AC84*0.4))+IF(AD84="",0,가정!$C$33*MAX(0,1-AD84))+IF(V84="",0,가정!$C$34*MIN(1,MAX(0,(V84-가정!$C$27)/(가정!$C$28-가정!$C$27)))))/(IF(AE84="",0,가정!$C$31)+IF(AB84="",0,가정!$C$32)+IF(AD84="",0,가정!$C$33)+IF(V84="",0,가정!$C$34))*100,""))</f>
        <v/>
      </c>
      <c r="AI84" s="17">
        <f>IF(AH84="","",IF(U84&lt;=0,"역마진",IF(AH84&gt;=가정!$C$35,"GO",IF(AH84&gt;=가정!$C$36,"검토","SKIP"))))</f>
        <v/>
      </c>
    </row>
    <row r="85">
      <c r="B85" s="6" t="n">
        <v>78</v>
      </c>
      <c r="C85" s="7" t="n"/>
      <c r="E85" s="7" t="n"/>
      <c r="F85" s="7" t="n"/>
      <c r="G85" s="8" t="n"/>
      <c r="H85" s="8" t="n">
        <v>0</v>
      </c>
      <c r="I85" s="9">
        <f>J85*가정!$C$10</f>
        <v/>
      </c>
      <c r="J85" s="10" t="n"/>
      <c r="K85" s="11">
        <f>가정!$C$14</f>
        <v/>
      </c>
      <c r="L85" s="8" t="n"/>
      <c r="M85" s="8" t="n"/>
      <c r="N85" s="9">
        <f>IF(가정!$C$25="Y",가정!$C$24,G85*가정!$C$16)</f>
        <v/>
      </c>
      <c r="P85" s="9">
        <f>(G85*K85)+(H85*가정!$C$15)</f>
        <v/>
      </c>
      <c r="Q85" s="9">
        <f>IF(가정!$C$5="간이과세",(G85+H85)*0.015,(G85+H85)/11-((L85+M85+N85+P85)/11)-IF(가정!$C$11="정식통관",I85*가정!$C$12,0))</f>
        <v/>
      </c>
      <c r="R85" s="9">
        <f>G85+H85-I85-L85-M85-N85-P85-Q85</f>
        <v/>
      </c>
      <c r="S85" s="9">
        <f>MAX(0,R85)*가정!$C$7</f>
        <v/>
      </c>
      <c r="T85" s="9">
        <f>G85*가정!$C$17</f>
        <v/>
      </c>
      <c r="U85" s="9">
        <f>R85-S85-T85</f>
        <v/>
      </c>
      <c r="V85" s="12">
        <f>IF(G85=0,"",U85/G85)</f>
        <v/>
      </c>
      <c r="X85" s="7" t="n"/>
      <c r="Y85" s="7" t="n"/>
      <c r="Z85" s="7" t="n"/>
      <c r="AA85" s="13" t="n"/>
      <c r="AB85" s="13" t="n"/>
      <c r="AC85" s="14" t="n"/>
      <c r="AD85" s="14" t="n"/>
      <c r="AE85" s="13" t="n"/>
      <c r="AF85" s="15">
        <f>IF((1-K85-가정!$C$16-가정!$C$17-가정!$C$27-1/11)&lt;=0,"",IFERROR((I85+L85+M85)/(1-K85-가정!$C$16-가정!$C$17-가정!$C$27-1/11),""))</f>
        <v/>
      </c>
      <c r="AG85" s="15">
        <f>IF(OR(AA85="",AF85=""),"",AA85-AF85)</f>
        <v/>
      </c>
      <c r="AH85" s="16">
        <f>IF(G85="","",IFERROR((IF(AE85="",0,가정!$C$31*MIN(1,LOG(AE85+1)/LOG(가정!$C$30)))+IF(AB85="",0,가정!$C$32*(MAX(0,1-AB85/가정!$C$29)*0.6+AC85*0.4))+IF(AD85="",0,가정!$C$33*MAX(0,1-AD85))+IF(V85="",0,가정!$C$34*MIN(1,MAX(0,(V85-가정!$C$27)/(가정!$C$28-가정!$C$27)))))/(IF(AE85="",0,가정!$C$31)+IF(AB85="",0,가정!$C$32)+IF(AD85="",0,가정!$C$33)+IF(V85="",0,가정!$C$34))*100,""))</f>
        <v/>
      </c>
      <c r="AI85" s="17">
        <f>IF(AH85="","",IF(U85&lt;=0,"역마진",IF(AH85&gt;=가정!$C$35,"GO",IF(AH85&gt;=가정!$C$36,"검토","SKIP"))))</f>
        <v/>
      </c>
    </row>
    <row r="86">
      <c r="B86" s="6" t="n">
        <v>79</v>
      </c>
      <c r="C86" s="7" t="n"/>
      <c r="E86" s="7" t="n"/>
      <c r="F86" s="7" t="n"/>
      <c r="G86" s="8" t="n"/>
      <c r="H86" s="8" t="n">
        <v>0</v>
      </c>
      <c r="I86" s="9">
        <f>J86*가정!$C$10</f>
        <v/>
      </c>
      <c r="J86" s="10" t="n"/>
      <c r="K86" s="11">
        <f>가정!$C$14</f>
        <v/>
      </c>
      <c r="L86" s="8" t="n"/>
      <c r="M86" s="8" t="n"/>
      <c r="N86" s="9">
        <f>IF(가정!$C$25="Y",가정!$C$24,G86*가정!$C$16)</f>
        <v/>
      </c>
      <c r="P86" s="9">
        <f>(G86*K86)+(H86*가정!$C$15)</f>
        <v/>
      </c>
      <c r="Q86" s="9">
        <f>IF(가정!$C$5="간이과세",(G86+H86)*0.015,(G86+H86)/11-((L86+M86+N86+P86)/11)-IF(가정!$C$11="정식통관",I86*가정!$C$12,0))</f>
        <v/>
      </c>
      <c r="R86" s="9">
        <f>G86+H86-I86-L86-M86-N86-P86-Q86</f>
        <v/>
      </c>
      <c r="S86" s="9">
        <f>MAX(0,R86)*가정!$C$7</f>
        <v/>
      </c>
      <c r="T86" s="9">
        <f>G86*가정!$C$17</f>
        <v/>
      </c>
      <c r="U86" s="9">
        <f>R86-S86-T86</f>
        <v/>
      </c>
      <c r="V86" s="12">
        <f>IF(G86=0,"",U86/G86)</f>
        <v/>
      </c>
      <c r="X86" s="7" t="n"/>
      <c r="Y86" s="7" t="n"/>
      <c r="Z86" s="7" t="n"/>
      <c r="AA86" s="13" t="n"/>
      <c r="AB86" s="13" t="n"/>
      <c r="AC86" s="14" t="n"/>
      <c r="AD86" s="14" t="n"/>
      <c r="AE86" s="13" t="n"/>
      <c r="AF86" s="15">
        <f>IF((1-K86-가정!$C$16-가정!$C$17-가정!$C$27-1/11)&lt;=0,"",IFERROR((I86+L86+M86)/(1-K86-가정!$C$16-가정!$C$17-가정!$C$27-1/11),""))</f>
        <v/>
      </c>
      <c r="AG86" s="15">
        <f>IF(OR(AA86="",AF86=""),"",AA86-AF86)</f>
        <v/>
      </c>
      <c r="AH86" s="16">
        <f>IF(G86="","",IFERROR((IF(AE86="",0,가정!$C$31*MIN(1,LOG(AE86+1)/LOG(가정!$C$30)))+IF(AB86="",0,가정!$C$32*(MAX(0,1-AB86/가정!$C$29)*0.6+AC86*0.4))+IF(AD86="",0,가정!$C$33*MAX(0,1-AD86))+IF(V86="",0,가정!$C$34*MIN(1,MAX(0,(V86-가정!$C$27)/(가정!$C$28-가정!$C$27)))))/(IF(AE86="",0,가정!$C$31)+IF(AB86="",0,가정!$C$32)+IF(AD86="",0,가정!$C$33)+IF(V86="",0,가정!$C$34))*100,""))</f>
        <v/>
      </c>
      <c r="AI86" s="17">
        <f>IF(AH86="","",IF(U86&lt;=0,"역마진",IF(AH86&gt;=가정!$C$35,"GO",IF(AH86&gt;=가정!$C$36,"검토","SKIP"))))</f>
        <v/>
      </c>
    </row>
    <row r="87">
      <c r="B87" s="6" t="n">
        <v>80</v>
      </c>
      <c r="C87" s="7" t="n"/>
      <c r="E87" s="7" t="n"/>
      <c r="F87" s="7" t="n"/>
      <c r="G87" s="8" t="n"/>
      <c r="H87" s="8" t="n">
        <v>0</v>
      </c>
      <c r="I87" s="9">
        <f>J87*가정!$C$10</f>
        <v/>
      </c>
      <c r="J87" s="10" t="n"/>
      <c r="K87" s="11">
        <f>가정!$C$14</f>
        <v/>
      </c>
      <c r="L87" s="8" t="n"/>
      <c r="M87" s="8" t="n"/>
      <c r="N87" s="9">
        <f>IF(가정!$C$25="Y",가정!$C$24,G87*가정!$C$16)</f>
        <v/>
      </c>
      <c r="P87" s="9">
        <f>(G87*K87)+(H87*가정!$C$15)</f>
        <v/>
      </c>
      <c r="Q87" s="9">
        <f>IF(가정!$C$5="간이과세",(G87+H87)*0.015,(G87+H87)/11-((L87+M87+N87+P87)/11)-IF(가정!$C$11="정식통관",I87*가정!$C$12,0))</f>
        <v/>
      </c>
      <c r="R87" s="9">
        <f>G87+H87-I87-L87-M87-N87-P87-Q87</f>
        <v/>
      </c>
      <c r="S87" s="9">
        <f>MAX(0,R87)*가정!$C$7</f>
        <v/>
      </c>
      <c r="T87" s="9">
        <f>G87*가정!$C$17</f>
        <v/>
      </c>
      <c r="U87" s="9">
        <f>R87-S87-T87</f>
        <v/>
      </c>
      <c r="V87" s="12">
        <f>IF(G87=0,"",U87/G87)</f>
        <v/>
      </c>
      <c r="X87" s="7" t="n"/>
      <c r="Y87" s="7" t="n"/>
      <c r="Z87" s="7" t="n"/>
      <c r="AA87" s="13" t="n"/>
      <c r="AB87" s="13" t="n"/>
      <c r="AC87" s="14" t="n"/>
      <c r="AD87" s="14" t="n"/>
      <c r="AE87" s="13" t="n"/>
      <c r="AF87" s="15">
        <f>IF((1-K87-가정!$C$16-가정!$C$17-가정!$C$27-1/11)&lt;=0,"",IFERROR((I87+L87+M87)/(1-K87-가정!$C$16-가정!$C$17-가정!$C$27-1/11),""))</f>
        <v/>
      </c>
      <c r="AG87" s="15">
        <f>IF(OR(AA87="",AF87=""),"",AA87-AF87)</f>
        <v/>
      </c>
      <c r="AH87" s="16">
        <f>IF(G87="","",IFERROR((IF(AE87="",0,가정!$C$31*MIN(1,LOG(AE87+1)/LOG(가정!$C$30)))+IF(AB87="",0,가정!$C$32*(MAX(0,1-AB87/가정!$C$29)*0.6+AC87*0.4))+IF(AD87="",0,가정!$C$33*MAX(0,1-AD87))+IF(V87="",0,가정!$C$34*MIN(1,MAX(0,(V87-가정!$C$27)/(가정!$C$28-가정!$C$27)))))/(IF(AE87="",0,가정!$C$31)+IF(AB87="",0,가정!$C$32)+IF(AD87="",0,가정!$C$33)+IF(V87="",0,가정!$C$34))*100,""))</f>
        <v/>
      </c>
      <c r="AI87" s="17">
        <f>IF(AH87="","",IF(U87&lt;=0,"역마진",IF(AH87&gt;=가정!$C$35,"GO",IF(AH87&gt;=가정!$C$36,"검토","SKIP"))))</f>
        <v/>
      </c>
    </row>
    <row r="88">
      <c r="B88" s="6" t="n">
        <v>81</v>
      </c>
      <c r="C88" s="7" t="n"/>
      <c r="E88" s="7" t="n"/>
      <c r="F88" s="7" t="n"/>
      <c r="G88" s="8" t="n"/>
      <c r="H88" s="8" t="n">
        <v>0</v>
      </c>
      <c r="I88" s="9">
        <f>J88*가정!$C$10</f>
        <v/>
      </c>
      <c r="J88" s="10" t="n"/>
      <c r="K88" s="11">
        <f>가정!$C$14</f>
        <v/>
      </c>
      <c r="L88" s="8" t="n"/>
      <c r="M88" s="8" t="n"/>
      <c r="N88" s="9">
        <f>IF(가정!$C$25="Y",가정!$C$24,G88*가정!$C$16)</f>
        <v/>
      </c>
      <c r="P88" s="9">
        <f>(G88*K88)+(H88*가정!$C$15)</f>
        <v/>
      </c>
      <c r="Q88" s="9">
        <f>IF(가정!$C$5="간이과세",(G88+H88)*0.015,(G88+H88)/11-((L88+M88+N88+P88)/11)-IF(가정!$C$11="정식통관",I88*가정!$C$12,0))</f>
        <v/>
      </c>
      <c r="R88" s="9">
        <f>G88+H88-I88-L88-M88-N88-P88-Q88</f>
        <v/>
      </c>
      <c r="S88" s="9">
        <f>MAX(0,R88)*가정!$C$7</f>
        <v/>
      </c>
      <c r="T88" s="9">
        <f>G88*가정!$C$17</f>
        <v/>
      </c>
      <c r="U88" s="9">
        <f>R88-S88-T88</f>
        <v/>
      </c>
      <c r="V88" s="12">
        <f>IF(G88=0,"",U88/G88)</f>
        <v/>
      </c>
      <c r="X88" s="7" t="n"/>
      <c r="Y88" s="7" t="n"/>
      <c r="Z88" s="7" t="n"/>
      <c r="AA88" s="13" t="n"/>
      <c r="AB88" s="13" t="n"/>
      <c r="AC88" s="14" t="n"/>
      <c r="AD88" s="14" t="n"/>
      <c r="AE88" s="13" t="n"/>
      <c r="AF88" s="15">
        <f>IF((1-K88-가정!$C$16-가정!$C$17-가정!$C$27-1/11)&lt;=0,"",IFERROR((I88+L88+M88)/(1-K88-가정!$C$16-가정!$C$17-가정!$C$27-1/11),""))</f>
        <v/>
      </c>
      <c r="AG88" s="15">
        <f>IF(OR(AA88="",AF88=""),"",AA88-AF88)</f>
        <v/>
      </c>
      <c r="AH88" s="16">
        <f>IF(G88="","",IFERROR((IF(AE88="",0,가정!$C$31*MIN(1,LOG(AE88+1)/LOG(가정!$C$30)))+IF(AB88="",0,가정!$C$32*(MAX(0,1-AB88/가정!$C$29)*0.6+AC88*0.4))+IF(AD88="",0,가정!$C$33*MAX(0,1-AD88))+IF(V88="",0,가정!$C$34*MIN(1,MAX(0,(V88-가정!$C$27)/(가정!$C$28-가정!$C$27)))))/(IF(AE88="",0,가정!$C$31)+IF(AB88="",0,가정!$C$32)+IF(AD88="",0,가정!$C$33)+IF(V88="",0,가정!$C$34))*100,""))</f>
        <v/>
      </c>
      <c r="AI88" s="17">
        <f>IF(AH88="","",IF(U88&lt;=0,"역마진",IF(AH88&gt;=가정!$C$35,"GO",IF(AH88&gt;=가정!$C$36,"검토","SKIP"))))</f>
        <v/>
      </c>
    </row>
    <row r="89">
      <c r="B89" s="6" t="n">
        <v>82</v>
      </c>
      <c r="C89" s="7" t="n"/>
      <c r="E89" s="7" t="n"/>
      <c r="F89" s="7" t="n"/>
      <c r="G89" s="8" t="n"/>
      <c r="H89" s="8" t="n">
        <v>0</v>
      </c>
      <c r="I89" s="9">
        <f>J89*가정!$C$10</f>
        <v/>
      </c>
      <c r="J89" s="10" t="n"/>
      <c r="K89" s="11">
        <f>가정!$C$14</f>
        <v/>
      </c>
      <c r="L89" s="8" t="n"/>
      <c r="M89" s="8" t="n"/>
      <c r="N89" s="9">
        <f>IF(가정!$C$25="Y",가정!$C$24,G89*가정!$C$16)</f>
        <v/>
      </c>
      <c r="P89" s="9">
        <f>(G89*K89)+(H89*가정!$C$15)</f>
        <v/>
      </c>
      <c r="Q89" s="9">
        <f>IF(가정!$C$5="간이과세",(G89+H89)*0.015,(G89+H89)/11-((L89+M89+N89+P89)/11)-IF(가정!$C$11="정식통관",I89*가정!$C$12,0))</f>
        <v/>
      </c>
      <c r="R89" s="9">
        <f>G89+H89-I89-L89-M89-N89-P89-Q89</f>
        <v/>
      </c>
      <c r="S89" s="9">
        <f>MAX(0,R89)*가정!$C$7</f>
        <v/>
      </c>
      <c r="T89" s="9">
        <f>G89*가정!$C$17</f>
        <v/>
      </c>
      <c r="U89" s="9">
        <f>R89-S89-T89</f>
        <v/>
      </c>
      <c r="V89" s="12">
        <f>IF(G89=0,"",U89/G89)</f>
        <v/>
      </c>
      <c r="X89" s="7" t="n"/>
      <c r="Y89" s="7" t="n"/>
      <c r="Z89" s="7" t="n"/>
      <c r="AA89" s="13" t="n"/>
      <c r="AB89" s="13" t="n"/>
      <c r="AC89" s="14" t="n"/>
      <c r="AD89" s="14" t="n"/>
      <c r="AE89" s="13" t="n"/>
      <c r="AF89" s="15">
        <f>IF((1-K89-가정!$C$16-가정!$C$17-가정!$C$27-1/11)&lt;=0,"",IFERROR((I89+L89+M89)/(1-K89-가정!$C$16-가정!$C$17-가정!$C$27-1/11),""))</f>
        <v/>
      </c>
      <c r="AG89" s="15">
        <f>IF(OR(AA89="",AF89=""),"",AA89-AF89)</f>
        <v/>
      </c>
      <c r="AH89" s="16">
        <f>IF(G89="","",IFERROR((IF(AE89="",0,가정!$C$31*MIN(1,LOG(AE89+1)/LOG(가정!$C$30)))+IF(AB89="",0,가정!$C$32*(MAX(0,1-AB89/가정!$C$29)*0.6+AC89*0.4))+IF(AD89="",0,가정!$C$33*MAX(0,1-AD89))+IF(V89="",0,가정!$C$34*MIN(1,MAX(0,(V89-가정!$C$27)/(가정!$C$28-가정!$C$27)))))/(IF(AE89="",0,가정!$C$31)+IF(AB89="",0,가정!$C$32)+IF(AD89="",0,가정!$C$33)+IF(V89="",0,가정!$C$34))*100,""))</f>
        <v/>
      </c>
      <c r="AI89" s="17">
        <f>IF(AH89="","",IF(U89&lt;=0,"역마진",IF(AH89&gt;=가정!$C$35,"GO",IF(AH89&gt;=가정!$C$36,"검토","SKIP"))))</f>
        <v/>
      </c>
    </row>
    <row r="90">
      <c r="B90" s="6" t="n">
        <v>83</v>
      </c>
      <c r="C90" s="7" t="n"/>
      <c r="E90" s="7" t="n"/>
      <c r="F90" s="7" t="n"/>
      <c r="G90" s="8" t="n"/>
      <c r="H90" s="8" t="n">
        <v>0</v>
      </c>
      <c r="I90" s="9">
        <f>J90*가정!$C$10</f>
        <v/>
      </c>
      <c r="J90" s="10" t="n"/>
      <c r="K90" s="11">
        <f>가정!$C$14</f>
        <v/>
      </c>
      <c r="L90" s="8" t="n"/>
      <c r="M90" s="8" t="n"/>
      <c r="N90" s="9">
        <f>IF(가정!$C$25="Y",가정!$C$24,G90*가정!$C$16)</f>
        <v/>
      </c>
      <c r="P90" s="9">
        <f>(G90*K90)+(H90*가정!$C$15)</f>
        <v/>
      </c>
      <c r="Q90" s="9">
        <f>IF(가정!$C$5="간이과세",(G90+H90)*0.015,(G90+H90)/11-((L90+M90+N90+P90)/11)-IF(가정!$C$11="정식통관",I90*가정!$C$12,0))</f>
        <v/>
      </c>
      <c r="R90" s="9">
        <f>G90+H90-I90-L90-M90-N90-P90-Q90</f>
        <v/>
      </c>
      <c r="S90" s="9">
        <f>MAX(0,R90)*가정!$C$7</f>
        <v/>
      </c>
      <c r="T90" s="9">
        <f>G90*가정!$C$17</f>
        <v/>
      </c>
      <c r="U90" s="9">
        <f>R90-S90-T90</f>
        <v/>
      </c>
      <c r="V90" s="12">
        <f>IF(G90=0,"",U90/G90)</f>
        <v/>
      </c>
      <c r="X90" s="7" t="n"/>
      <c r="Y90" s="7" t="n"/>
      <c r="Z90" s="7" t="n"/>
      <c r="AA90" s="13" t="n"/>
      <c r="AB90" s="13" t="n"/>
      <c r="AC90" s="14" t="n"/>
      <c r="AD90" s="14" t="n"/>
      <c r="AE90" s="13" t="n"/>
      <c r="AF90" s="15">
        <f>IF((1-K90-가정!$C$16-가정!$C$17-가정!$C$27-1/11)&lt;=0,"",IFERROR((I90+L90+M90)/(1-K90-가정!$C$16-가정!$C$17-가정!$C$27-1/11),""))</f>
        <v/>
      </c>
      <c r="AG90" s="15">
        <f>IF(OR(AA90="",AF90=""),"",AA90-AF90)</f>
        <v/>
      </c>
      <c r="AH90" s="16">
        <f>IF(G90="","",IFERROR((IF(AE90="",0,가정!$C$31*MIN(1,LOG(AE90+1)/LOG(가정!$C$30)))+IF(AB90="",0,가정!$C$32*(MAX(0,1-AB90/가정!$C$29)*0.6+AC90*0.4))+IF(AD90="",0,가정!$C$33*MAX(0,1-AD90))+IF(V90="",0,가정!$C$34*MIN(1,MAX(0,(V90-가정!$C$27)/(가정!$C$28-가정!$C$27)))))/(IF(AE90="",0,가정!$C$31)+IF(AB90="",0,가정!$C$32)+IF(AD90="",0,가정!$C$33)+IF(V90="",0,가정!$C$34))*100,""))</f>
        <v/>
      </c>
      <c r="AI90" s="17">
        <f>IF(AH90="","",IF(U90&lt;=0,"역마진",IF(AH90&gt;=가정!$C$35,"GO",IF(AH90&gt;=가정!$C$36,"검토","SKIP"))))</f>
        <v/>
      </c>
    </row>
    <row r="91">
      <c r="B91" s="6" t="n">
        <v>84</v>
      </c>
      <c r="C91" s="7" t="n"/>
      <c r="E91" s="7" t="n"/>
      <c r="F91" s="7" t="n"/>
      <c r="G91" s="8" t="n"/>
      <c r="H91" s="8" t="n">
        <v>0</v>
      </c>
      <c r="I91" s="9">
        <f>J91*가정!$C$10</f>
        <v/>
      </c>
      <c r="J91" s="10" t="n"/>
      <c r="K91" s="11">
        <f>가정!$C$14</f>
        <v/>
      </c>
      <c r="L91" s="8" t="n"/>
      <c r="M91" s="8" t="n"/>
      <c r="N91" s="9">
        <f>IF(가정!$C$25="Y",가정!$C$24,G91*가정!$C$16)</f>
        <v/>
      </c>
      <c r="P91" s="9">
        <f>(G91*K91)+(H91*가정!$C$15)</f>
        <v/>
      </c>
      <c r="Q91" s="9">
        <f>IF(가정!$C$5="간이과세",(G91+H91)*0.015,(G91+H91)/11-((L91+M91+N91+P91)/11)-IF(가정!$C$11="정식통관",I91*가정!$C$12,0))</f>
        <v/>
      </c>
      <c r="R91" s="9">
        <f>G91+H91-I91-L91-M91-N91-P91-Q91</f>
        <v/>
      </c>
      <c r="S91" s="9">
        <f>MAX(0,R91)*가정!$C$7</f>
        <v/>
      </c>
      <c r="T91" s="9">
        <f>G91*가정!$C$17</f>
        <v/>
      </c>
      <c r="U91" s="9">
        <f>R91-S91-T91</f>
        <v/>
      </c>
      <c r="V91" s="12">
        <f>IF(G91=0,"",U91/G91)</f>
        <v/>
      </c>
      <c r="X91" s="7" t="n"/>
      <c r="Y91" s="7" t="n"/>
      <c r="Z91" s="7" t="n"/>
      <c r="AA91" s="13" t="n"/>
      <c r="AB91" s="13" t="n"/>
      <c r="AC91" s="14" t="n"/>
      <c r="AD91" s="14" t="n"/>
      <c r="AE91" s="13" t="n"/>
      <c r="AF91" s="15">
        <f>IF((1-K91-가정!$C$16-가정!$C$17-가정!$C$27-1/11)&lt;=0,"",IFERROR((I91+L91+M91)/(1-K91-가정!$C$16-가정!$C$17-가정!$C$27-1/11),""))</f>
        <v/>
      </c>
      <c r="AG91" s="15">
        <f>IF(OR(AA91="",AF91=""),"",AA91-AF91)</f>
        <v/>
      </c>
      <c r="AH91" s="16">
        <f>IF(G91="","",IFERROR((IF(AE91="",0,가정!$C$31*MIN(1,LOG(AE91+1)/LOG(가정!$C$30)))+IF(AB91="",0,가정!$C$32*(MAX(0,1-AB91/가정!$C$29)*0.6+AC91*0.4))+IF(AD91="",0,가정!$C$33*MAX(0,1-AD91))+IF(V91="",0,가정!$C$34*MIN(1,MAX(0,(V91-가정!$C$27)/(가정!$C$28-가정!$C$27)))))/(IF(AE91="",0,가정!$C$31)+IF(AB91="",0,가정!$C$32)+IF(AD91="",0,가정!$C$33)+IF(V91="",0,가정!$C$34))*100,""))</f>
        <v/>
      </c>
      <c r="AI91" s="17">
        <f>IF(AH91="","",IF(U91&lt;=0,"역마진",IF(AH91&gt;=가정!$C$35,"GO",IF(AH91&gt;=가정!$C$36,"검토","SKIP"))))</f>
        <v/>
      </c>
    </row>
    <row r="92">
      <c r="B92" s="6" t="n">
        <v>85</v>
      </c>
      <c r="C92" s="7" t="n"/>
      <c r="E92" s="7" t="n"/>
      <c r="F92" s="7" t="n"/>
      <c r="G92" s="8" t="n"/>
      <c r="H92" s="8" t="n">
        <v>0</v>
      </c>
      <c r="I92" s="9">
        <f>J92*가정!$C$10</f>
        <v/>
      </c>
      <c r="J92" s="10" t="n"/>
      <c r="K92" s="11">
        <f>가정!$C$14</f>
        <v/>
      </c>
      <c r="L92" s="8" t="n"/>
      <c r="M92" s="8" t="n"/>
      <c r="N92" s="9">
        <f>IF(가정!$C$25="Y",가정!$C$24,G92*가정!$C$16)</f>
        <v/>
      </c>
      <c r="P92" s="9">
        <f>(G92*K92)+(H92*가정!$C$15)</f>
        <v/>
      </c>
      <c r="Q92" s="9">
        <f>IF(가정!$C$5="간이과세",(G92+H92)*0.015,(G92+H92)/11-((L92+M92+N92+P92)/11)-IF(가정!$C$11="정식통관",I92*가정!$C$12,0))</f>
        <v/>
      </c>
      <c r="R92" s="9">
        <f>G92+H92-I92-L92-M92-N92-P92-Q92</f>
        <v/>
      </c>
      <c r="S92" s="9">
        <f>MAX(0,R92)*가정!$C$7</f>
        <v/>
      </c>
      <c r="T92" s="9">
        <f>G92*가정!$C$17</f>
        <v/>
      </c>
      <c r="U92" s="9">
        <f>R92-S92-T92</f>
        <v/>
      </c>
      <c r="V92" s="12">
        <f>IF(G92=0,"",U92/G92)</f>
        <v/>
      </c>
      <c r="X92" s="7" t="n"/>
      <c r="Y92" s="7" t="n"/>
      <c r="Z92" s="7" t="n"/>
      <c r="AA92" s="13" t="n"/>
      <c r="AB92" s="13" t="n"/>
      <c r="AC92" s="14" t="n"/>
      <c r="AD92" s="14" t="n"/>
      <c r="AE92" s="13" t="n"/>
      <c r="AF92" s="15">
        <f>IF((1-K92-가정!$C$16-가정!$C$17-가정!$C$27-1/11)&lt;=0,"",IFERROR((I92+L92+M92)/(1-K92-가정!$C$16-가정!$C$17-가정!$C$27-1/11),""))</f>
        <v/>
      </c>
      <c r="AG92" s="15">
        <f>IF(OR(AA92="",AF92=""),"",AA92-AF92)</f>
        <v/>
      </c>
      <c r="AH92" s="16">
        <f>IF(G92="","",IFERROR((IF(AE92="",0,가정!$C$31*MIN(1,LOG(AE92+1)/LOG(가정!$C$30)))+IF(AB92="",0,가정!$C$32*(MAX(0,1-AB92/가정!$C$29)*0.6+AC92*0.4))+IF(AD92="",0,가정!$C$33*MAX(0,1-AD92))+IF(V92="",0,가정!$C$34*MIN(1,MAX(0,(V92-가정!$C$27)/(가정!$C$28-가정!$C$27)))))/(IF(AE92="",0,가정!$C$31)+IF(AB92="",0,가정!$C$32)+IF(AD92="",0,가정!$C$33)+IF(V92="",0,가정!$C$34))*100,""))</f>
        <v/>
      </c>
      <c r="AI92" s="17">
        <f>IF(AH92="","",IF(U92&lt;=0,"역마진",IF(AH92&gt;=가정!$C$35,"GO",IF(AH92&gt;=가정!$C$36,"검토","SKIP"))))</f>
        <v/>
      </c>
    </row>
    <row r="93">
      <c r="B93" s="6" t="n">
        <v>86</v>
      </c>
      <c r="C93" s="7" t="n"/>
      <c r="E93" s="7" t="n"/>
      <c r="F93" s="7" t="n"/>
      <c r="G93" s="8" t="n"/>
      <c r="H93" s="8" t="n">
        <v>0</v>
      </c>
      <c r="I93" s="9">
        <f>J93*가정!$C$10</f>
        <v/>
      </c>
      <c r="J93" s="10" t="n"/>
      <c r="K93" s="11">
        <f>가정!$C$14</f>
        <v/>
      </c>
      <c r="L93" s="8" t="n"/>
      <c r="M93" s="8" t="n"/>
      <c r="N93" s="9">
        <f>IF(가정!$C$25="Y",가정!$C$24,G93*가정!$C$16)</f>
        <v/>
      </c>
      <c r="P93" s="9">
        <f>(G93*K93)+(H93*가정!$C$15)</f>
        <v/>
      </c>
      <c r="Q93" s="9">
        <f>IF(가정!$C$5="간이과세",(G93+H93)*0.015,(G93+H93)/11-((L93+M93+N93+P93)/11)-IF(가정!$C$11="정식통관",I93*가정!$C$12,0))</f>
        <v/>
      </c>
      <c r="R93" s="9">
        <f>G93+H93-I93-L93-M93-N93-P93-Q93</f>
        <v/>
      </c>
      <c r="S93" s="9">
        <f>MAX(0,R93)*가정!$C$7</f>
        <v/>
      </c>
      <c r="T93" s="9">
        <f>G93*가정!$C$17</f>
        <v/>
      </c>
      <c r="U93" s="9">
        <f>R93-S93-T93</f>
        <v/>
      </c>
      <c r="V93" s="12">
        <f>IF(G93=0,"",U93/G93)</f>
        <v/>
      </c>
      <c r="X93" s="7" t="n"/>
      <c r="Y93" s="7" t="n"/>
      <c r="Z93" s="7" t="n"/>
      <c r="AA93" s="13" t="n"/>
      <c r="AB93" s="13" t="n"/>
      <c r="AC93" s="14" t="n"/>
      <c r="AD93" s="14" t="n"/>
      <c r="AE93" s="13" t="n"/>
      <c r="AF93" s="15">
        <f>IF((1-K93-가정!$C$16-가정!$C$17-가정!$C$27-1/11)&lt;=0,"",IFERROR((I93+L93+M93)/(1-K93-가정!$C$16-가정!$C$17-가정!$C$27-1/11),""))</f>
        <v/>
      </c>
      <c r="AG93" s="15">
        <f>IF(OR(AA93="",AF93=""),"",AA93-AF93)</f>
        <v/>
      </c>
      <c r="AH93" s="16">
        <f>IF(G93="","",IFERROR((IF(AE93="",0,가정!$C$31*MIN(1,LOG(AE93+1)/LOG(가정!$C$30)))+IF(AB93="",0,가정!$C$32*(MAX(0,1-AB93/가정!$C$29)*0.6+AC93*0.4))+IF(AD93="",0,가정!$C$33*MAX(0,1-AD93))+IF(V93="",0,가정!$C$34*MIN(1,MAX(0,(V93-가정!$C$27)/(가정!$C$28-가정!$C$27)))))/(IF(AE93="",0,가정!$C$31)+IF(AB93="",0,가정!$C$32)+IF(AD93="",0,가정!$C$33)+IF(V93="",0,가정!$C$34))*100,""))</f>
        <v/>
      </c>
      <c r="AI93" s="17">
        <f>IF(AH93="","",IF(U93&lt;=0,"역마진",IF(AH93&gt;=가정!$C$35,"GO",IF(AH93&gt;=가정!$C$36,"검토","SKIP"))))</f>
        <v/>
      </c>
    </row>
    <row r="94">
      <c r="B94" s="6" t="n">
        <v>87</v>
      </c>
      <c r="C94" s="7" t="n"/>
      <c r="E94" s="7" t="n"/>
      <c r="F94" s="7" t="n"/>
      <c r="G94" s="8" t="n"/>
      <c r="H94" s="8" t="n">
        <v>0</v>
      </c>
      <c r="I94" s="9">
        <f>J94*가정!$C$10</f>
        <v/>
      </c>
      <c r="J94" s="10" t="n"/>
      <c r="K94" s="11">
        <f>가정!$C$14</f>
        <v/>
      </c>
      <c r="L94" s="8" t="n"/>
      <c r="M94" s="8" t="n"/>
      <c r="N94" s="9">
        <f>IF(가정!$C$25="Y",가정!$C$24,G94*가정!$C$16)</f>
        <v/>
      </c>
      <c r="P94" s="9">
        <f>(G94*K94)+(H94*가정!$C$15)</f>
        <v/>
      </c>
      <c r="Q94" s="9">
        <f>IF(가정!$C$5="간이과세",(G94+H94)*0.015,(G94+H94)/11-((L94+M94+N94+P94)/11)-IF(가정!$C$11="정식통관",I94*가정!$C$12,0))</f>
        <v/>
      </c>
      <c r="R94" s="9">
        <f>G94+H94-I94-L94-M94-N94-P94-Q94</f>
        <v/>
      </c>
      <c r="S94" s="9">
        <f>MAX(0,R94)*가정!$C$7</f>
        <v/>
      </c>
      <c r="T94" s="9">
        <f>G94*가정!$C$17</f>
        <v/>
      </c>
      <c r="U94" s="9">
        <f>R94-S94-T94</f>
        <v/>
      </c>
      <c r="V94" s="12">
        <f>IF(G94=0,"",U94/G94)</f>
        <v/>
      </c>
      <c r="X94" s="7" t="n"/>
      <c r="Y94" s="7" t="n"/>
      <c r="Z94" s="7" t="n"/>
      <c r="AA94" s="13" t="n"/>
      <c r="AB94" s="13" t="n"/>
      <c r="AC94" s="14" t="n"/>
      <c r="AD94" s="14" t="n"/>
      <c r="AE94" s="13" t="n"/>
      <c r="AF94" s="15">
        <f>IF((1-K94-가정!$C$16-가정!$C$17-가정!$C$27-1/11)&lt;=0,"",IFERROR((I94+L94+M94)/(1-K94-가정!$C$16-가정!$C$17-가정!$C$27-1/11),""))</f>
        <v/>
      </c>
      <c r="AG94" s="15">
        <f>IF(OR(AA94="",AF94=""),"",AA94-AF94)</f>
        <v/>
      </c>
      <c r="AH94" s="16">
        <f>IF(G94="","",IFERROR((IF(AE94="",0,가정!$C$31*MIN(1,LOG(AE94+1)/LOG(가정!$C$30)))+IF(AB94="",0,가정!$C$32*(MAX(0,1-AB94/가정!$C$29)*0.6+AC94*0.4))+IF(AD94="",0,가정!$C$33*MAX(0,1-AD94))+IF(V94="",0,가정!$C$34*MIN(1,MAX(0,(V94-가정!$C$27)/(가정!$C$28-가정!$C$27)))))/(IF(AE94="",0,가정!$C$31)+IF(AB94="",0,가정!$C$32)+IF(AD94="",0,가정!$C$33)+IF(V94="",0,가정!$C$34))*100,""))</f>
        <v/>
      </c>
      <c r="AI94" s="17">
        <f>IF(AH94="","",IF(U94&lt;=0,"역마진",IF(AH94&gt;=가정!$C$35,"GO",IF(AH94&gt;=가정!$C$36,"검토","SKIP"))))</f>
        <v/>
      </c>
    </row>
    <row r="95">
      <c r="B95" s="6" t="n">
        <v>88</v>
      </c>
      <c r="C95" s="7" t="n"/>
      <c r="E95" s="7" t="n"/>
      <c r="F95" s="7" t="n"/>
      <c r="G95" s="8" t="n"/>
      <c r="H95" s="8" t="n">
        <v>0</v>
      </c>
      <c r="I95" s="9">
        <f>J95*가정!$C$10</f>
        <v/>
      </c>
      <c r="J95" s="10" t="n"/>
      <c r="K95" s="11">
        <f>가정!$C$14</f>
        <v/>
      </c>
      <c r="L95" s="8" t="n"/>
      <c r="M95" s="8" t="n"/>
      <c r="N95" s="9">
        <f>IF(가정!$C$25="Y",가정!$C$24,G95*가정!$C$16)</f>
        <v/>
      </c>
      <c r="P95" s="9">
        <f>(G95*K95)+(H95*가정!$C$15)</f>
        <v/>
      </c>
      <c r="Q95" s="9">
        <f>IF(가정!$C$5="간이과세",(G95+H95)*0.015,(G95+H95)/11-((L95+M95+N95+P95)/11)-IF(가정!$C$11="정식통관",I95*가정!$C$12,0))</f>
        <v/>
      </c>
      <c r="R95" s="9">
        <f>G95+H95-I95-L95-M95-N95-P95-Q95</f>
        <v/>
      </c>
      <c r="S95" s="9">
        <f>MAX(0,R95)*가정!$C$7</f>
        <v/>
      </c>
      <c r="T95" s="9">
        <f>G95*가정!$C$17</f>
        <v/>
      </c>
      <c r="U95" s="9">
        <f>R95-S95-T95</f>
        <v/>
      </c>
      <c r="V95" s="12">
        <f>IF(G95=0,"",U95/G95)</f>
        <v/>
      </c>
      <c r="X95" s="7" t="n"/>
      <c r="Y95" s="7" t="n"/>
      <c r="Z95" s="7" t="n"/>
      <c r="AA95" s="13" t="n"/>
      <c r="AB95" s="13" t="n"/>
      <c r="AC95" s="14" t="n"/>
      <c r="AD95" s="14" t="n"/>
      <c r="AE95" s="13" t="n"/>
      <c r="AF95" s="15">
        <f>IF((1-K95-가정!$C$16-가정!$C$17-가정!$C$27-1/11)&lt;=0,"",IFERROR((I95+L95+M95)/(1-K95-가정!$C$16-가정!$C$17-가정!$C$27-1/11),""))</f>
        <v/>
      </c>
      <c r="AG95" s="15">
        <f>IF(OR(AA95="",AF95=""),"",AA95-AF95)</f>
        <v/>
      </c>
      <c r="AH95" s="16">
        <f>IF(G95="","",IFERROR((IF(AE95="",0,가정!$C$31*MIN(1,LOG(AE95+1)/LOG(가정!$C$30)))+IF(AB95="",0,가정!$C$32*(MAX(0,1-AB95/가정!$C$29)*0.6+AC95*0.4))+IF(AD95="",0,가정!$C$33*MAX(0,1-AD95))+IF(V95="",0,가정!$C$34*MIN(1,MAX(0,(V95-가정!$C$27)/(가정!$C$28-가정!$C$27)))))/(IF(AE95="",0,가정!$C$31)+IF(AB95="",0,가정!$C$32)+IF(AD95="",0,가정!$C$33)+IF(V95="",0,가정!$C$34))*100,""))</f>
        <v/>
      </c>
      <c r="AI95" s="17">
        <f>IF(AH95="","",IF(U95&lt;=0,"역마진",IF(AH95&gt;=가정!$C$35,"GO",IF(AH95&gt;=가정!$C$36,"검토","SKIP"))))</f>
        <v/>
      </c>
    </row>
    <row r="96">
      <c r="B96" s="6" t="n">
        <v>89</v>
      </c>
      <c r="C96" s="7" t="n"/>
      <c r="E96" s="7" t="n"/>
      <c r="F96" s="7" t="n"/>
      <c r="G96" s="8" t="n"/>
      <c r="H96" s="8" t="n">
        <v>0</v>
      </c>
      <c r="I96" s="9">
        <f>J96*가정!$C$10</f>
        <v/>
      </c>
      <c r="J96" s="10" t="n"/>
      <c r="K96" s="11">
        <f>가정!$C$14</f>
        <v/>
      </c>
      <c r="L96" s="8" t="n"/>
      <c r="M96" s="8" t="n"/>
      <c r="N96" s="9">
        <f>IF(가정!$C$25="Y",가정!$C$24,G96*가정!$C$16)</f>
        <v/>
      </c>
      <c r="P96" s="9">
        <f>(G96*K96)+(H96*가정!$C$15)</f>
        <v/>
      </c>
      <c r="Q96" s="9">
        <f>IF(가정!$C$5="간이과세",(G96+H96)*0.015,(G96+H96)/11-((L96+M96+N96+P96)/11)-IF(가정!$C$11="정식통관",I96*가정!$C$12,0))</f>
        <v/>
      </c>
      <c r="R96" s="9">
        <f>G96+H96-I96-L96-M96-N96-P96-Q96</f>
        <v/>
      </c>
      <c r="S96" s="9">
        <f>MAX(0,R96)*가정!$C$7</f>
        <v/>
      </c>
      <c r="T96" s="9">
        <f>G96*가정!$C$17</f>
        <v/>
      </c>
      <c r="U96" s="9">
        <f>R96-S96-T96</f>
        <v/>
      </c>
      <c r="V96" s="12">
        <f>IF(G96=0,"",U96/G96)</f>
        <v/>
      </c>
      <c r="X96" s="7" t="n"/>
      <c r="Y96" s="7" t="n"/>
      <c r="Z96" s="7" t="n"/>
      <c r="AA96" s="13" t="n"/>
      <c r="AB96" s="13" t="n"/>
      <c r="AC96" s="14" t="n"/>
      <c r="AD96" s="14" t="n"/>
      <c r="AE96" s="13" t="n"/>
      <c r="AF96" s="15">
        <f>IF((1-K96-가정!$C$16-가정!$C$17-가정!$C$27-1/11)&lt;=0,"",IFERROR((I96+L96+M96)/(1-K96-가정!$C$16-가정!$C$17-가정!$C$27-1/11),""))</f>
        <v/>
      </c>
      <c r="AG96" s="15">
        <f>IF(OR(AA96="",AF96=""),"",AA96-AF96)</f>
        <v/>
      </c>
      <c r="AH96" s="16">
        <f>IF(G96="","",IFERROR((IF(AE96="",0,가정!$C$31*MIN(1,LOG(AE96+1)/LOG(가정!$C$30)))+IF(AB96="",0,가정!$C$32*(MAX(0,1-AB96/가정!$C$29)*0.6+AC96*0.4))+IF(AD96="",0,가정!$C$33*MAX(0,1-AD96))+IF(V96="",0,가정!$C$34*MIN(1,MAX(0,(V96-가정!$C$27)/(가정!$C$28-가정!$C$27)))))/(IF(AE96="",0,가정!$C$31)+IF(AB96="",0,가정!$C$32)+IF(AD96="",0,가정!$C$33)+IF(V96="",0,가정!$C$34))*100,""))</f>
        <v/>
      </c>
      <c r="AI96" s="17">
        <f>IF(AH96="","",IF(U96&lt;=0,"역마진",IF(AH96&gt;=가정!$C$35,"GO",IF(AH96&gt;=가정!$C$36,"검토","SKIP"))))</f>
        <v/>
      </c>
    </row>
    <row r="97">
      <c r="B97" s="6" t="n">
        <v>90</v>
      </c>
      <c r="C97" s="7" t="n"/>
      <c r="E97" s="7" t="n"/>
      <c r="F97" s="7" t="n"/>
      <c r="G97" s="8" t="n"/>
      <c r="H97" s="8" t="n">
        <v>0</v>
      </c>
      <c r="I97" s="9">
        <f>J97*가정!$C$10</f>
        <v/>
      </c>
      <c r="J97" s="10" t="n"/>
      <c r="K97" s="11">
        <f>가정!$C$14</f>
        <v/>
      </c>
      <c r="L97" s="8" t="n"/>
      <c r="M97" s="8" t="n"/>
      <c r="N97" s="9">
        <f>IF(가정!$C$25="Y",가정!$C$24,G97*가정!$C$16)</f>
        <v/>
      </c>
      <c r="P97" s="9">
        <f>(G97*K97)+(H97*가정!$C$15)</f>
        <v/>
      </c>
      <c r="Q97" s="9">
        <f>IF(가정!$C$5="간이과세",(G97+H97)*0.015,(G97+H97)/11-((L97+M97+N97+P97)/11)-IF(가정!$C$11="정식통관",I97*가정!$C$12,0))</f>
        <v/>
      </c>
      <c r="R97" s="9">
        <f>G97+H97-I97-L97-M97-N97-P97-Q97</f>
        <v/>
      </c>
      <c r="S97" s="9">
        <f>MAX(0,R97)*가정!$C$7</f>
        <v/>
      </c>
      <c r="T97" s="9">
        <f>G97*가정!$C$17</f>
        <v/>
      </c>
      <c r="U97" s="9">
        <f>R97-S97-T97</f>
        <v/>
      </c>
      <c r="V97" s="12">
        <f>IF(G97=0,"",U97/G97)</f>
        <v/>
      </c>
      <c r="X97" s="7" t="n"/>
      <c r="Y97" s="7" t="n"/>
      <c r="Z97" s="7" t="n"/>
      <c r="AA97" s="13" t="n"/>
      <c r="AB97" s="13" t="n"/>
      <c r="AC97" s="14" t="n"/>
      <c r="AD97" s="14" t="n"/>
      <c r="AE97" s="13" t="n"/>
      <c r="AF97" s="15">
        <f>IF((1-K97-가정!$C$16-가정!$C$17-가정!$C$27-1/11)&lt;=0,"",IFERROR((I97+L97+M97)/(1-K97-가정!$C$16-가정!$C$17-가정!$C$27-1/11),""))</f>
        <v/>
      </c>
      <c r="AG97" s="15">
        <f>IF(OR(AA97="",AF97=""),"",AA97-AF97)</f>
        <v/>
      </c>
      <c r="AH97" s="16">
        <f>IF(G97="","",IFERROR((IF(AE97="",0,가정!$C$31*MIN(1,LOG(AE97+1)/LOG(가정!$C$30)))+IF(AB97="",0,가정!$C$32*(MAX(0,1-AB97/가정!$C$29)*0.6+AC97*0.4))+IF(AD97="",0,가정!$C$33*MAX(0,1-AD97))+IF(V97="",0,가정!$C$34*MIN(1,MAX(0,(V97-가정!$C$27)/(가정!$C$28-가정!$C$27)))))/(IF(AE97="",0,가정!$C$31)+IF(AB97="",0,가정!$C$32)+IF(AD97="",0,가정!$C$33)+IF(V97="",0,가정!$C$34))*100,""))</f>
        <v/>
      </c>
      <c r="AI97" s="17">
        <f>IF(AH97="","",IF(U97&lt;=0,"역마진",IF(AH97&gt;=가정!$C$35,"GO",IF(AH97&gt;=가정!$C$36,"검토","SKIP"))))</f>
        <v/>
      </c>
    </row>
    <row r="98">
      <c r="B98" s="6" t="n">
        <v>91</v>
      </c>
      <c r="C98" s="7" t="n"/>
      <c r="E98" s="7" t="n"/>
      <c r="F98" s="7" t="n"/>
      <c r="G98" s="8" t="n"/>
      <c r="H98" s="8" t="n">
        <v>0</v>
      </c>
      <c r="I98" s="9">
        <f>J98*가정!$C$10</f>
        <v/>
      </c>
      <c r="J98" s="10" t="n"/>
      <c r="K98" s="11">
        <f>가정!$C$14</f>
        <v/>
      </c>
      <c r="L98" s="8" t="n"/>
      <c r="M98" s="8" t="n"/>
      <c r="N98" s="9">
        <f>IF(가정!$C$25="Y",가정!$C$24,G98*가정!$C$16)</f>
        <v/>
      </c>
      <c r="P98" s="9">
        <f>(G98*K98)+(H98*가정!$C$15)</f>
        <v/>
      </c>
      <c r="Q98" s="9">
        <f>IF(가정!$C$5="간이과세",(G98+H98)*0.015,(G98+H98)/11-((L98+M98+N98+P98)/11)-IF(가정!$C$11="정식통관",I98*가정!$C$12,0))</f>
        <v/>
      </c>
      <c r="R98" s="9">
        <f>G98+H98-I98-L98-M98-N98-P98-Q98</f>
        <v/>
      </c>
      <c r="S98" s="9">
        <f>MAX(0,R98)*가정!$C$7</f>
        <v/>
      </c>
      <c r="T98" s="9">
        <f>G98*가정!$C$17</f>
        <v/>
      </c>
      <c r="U98" s="9">
        <f>R98-S98-T98</f>
        <v/>
      </c>
      <c r="V98" s="12">
        <f>IF(G98=0,"",U98/G98)</f>
        <v/>
      </c>
      <c r="X98" s="7" t="n"/>
      <c r="Y98" s="7" t="n"/>
      <c r="Z98" s="7" t="n"/>
      <c r="AA98" s="13" t="n"/>
      <c r="AB98" s="13" t="n"/>
      <c r="AC98" s="14" t="n"/>
      <c r="AD98" s="14" t="n"/>
      <c r="AE98" s="13" t="n"/>
      <c r="AF98" s="15">
        <f>IF((1-K98-가정!$C$16-가정!$C$17-가정!$C$27-1/11)&lt;=0,"",IFERROR((I98+L98+M98)/(1-K98-가정!$C$16-가정!$C$17-가정!$C$27-1/11),""))</f>
        <v/>
      </c>
      <c r="AG98" s="15">
        <f>IF(OR(AA98="",AF98=""),"",AA98-AF98)</f>
        <v/>
      </c>
      <c r="AH98" s="16">
        <f>IF(G98="","",IFERROR((IF(AE98="",0,가정!$C$31*MIN(1,LOG(AE98+1)/LOG(가정!$C$30)))+IF(AB98="",0,가정!$C$32*(MAX(0,1-AB98/가정!$C$29)*0.6+AC98*0.4))+IF(AD98="",0,가정!$C$33*MAX(0,1-AD98))+IF(V98="",0,가정!$C$34*MIN(1,MAX(0,(V98-가정!$C$27)/(가정!$C$28-가정!$C$27)))))/(IF(AE98="",0,가정!$C$31)+IF(AB98="",0,가정!$C$32)+IF(AD98="",0,가정!$C$33)+IF(V98="",0,가정!$C$34))*100,""))</f>
        <v/>
      </c>
      <c r="AI98" s="17">
        <f>IF(AH98="","",IF(U98&lt;=0,"역마진",IF(AH98&gt;=가정!$C$35,"GO",IF(AH98&gt;=가정!$C$36,"검토","SKIP"))))</f>
        <v/>
      </c>
    </row>
    <row r="99">
      <c r="B99" s="6" t="n">
        <v>92</v>
      </c>
      <c r="C99" s="7" t="n"/>
      <c r="E99" s="7" t="n"/>
      <c r="F99" s="7" t="n"/>
      <c r="G99" s="8" t="n"/>
      <c r="H99" s="8" t="n">
        <v>0</v>
      </c>
      <c r="I99" s="9">
        <f>J99*가정!$C$10</f>
        <v/>
      </c>
      <c r="J99" s="10" t="n"/>
      <c r="K99" s="11">
        <f>가정!$C$14</f>
        <v/>
      </c>
      <c r="L99" s="8" t="n"/>
      <c r="M99" s="8" t="n"/>
      <c r="N99" s="9">
        <f>IF(가정!$C$25="Y",가정!$C$24,G99*가정!$C$16)</f>
        <v/>
      </c>
      <c r="P99" s="9">
        <f>(G99*K99)+(H99*가정!$C$15)</f>
        <v/>
      </c>
      <c r="Q99" s="9">
        <f>IF(가정!$C$5="간이과세",(G99+H99)*0.015,(G99+H99)/11-((L99+M99+N99+P99)/11)-IF(가정!$C$11="정식통관",I99*가정!$C$12,0))</f>
        <v/>
      </c>
      <c r="R99" s="9">
        <f>G99+H99-I99-L99-M99-N99-P99-Q99</f>
        <v/>
      </c>
      <c r="S99" s="9">
        <f>MAX(0,R99)*가정!$C$7</f>
        <v/>
      </c>
      <c r="T99" s="9">
        <f>G99*가정!$C$17</f>
        <v/>
      </c>
      <c r="U99" s="9">
        <f>R99-S99-T99</f>
        <v/>
      </c>
      <c r="V99" s="12">
        <f>IF(G99=0,"",U99/G99)</f>
        <v/>
      </c>
      <c r="X99" s="7" t="n"/>
      <c r="Y99" s="7" t="n"/>
      <c r="Z99" s="7" t="n"/>
      <c r="AA99" s="13" t="n"/>
      <c r="AB99" s="13" t="n"/>
      <c r="AC99" s="14" t="n"/>
      <c r="AD99" s="14" t="n"/>
      <c r="AE99" s="13" t="n"/>
      <c r="AF99" s="15">
        <f>IF((1-K99-가정!$C$16-가정!$C$17-가정!$C$27-1/11)&lt;=0,"",IFERROR((I99+L99+M99)/(1-K99-가정!$C$16-가정!$C$17-가정!$C$27-1/11),""))</f>
        <v/>
      </c>
      <c r="AG99" s="15">
        <f>IF(OR(AA99="",AF99=""),"",AA99-AF99)</f>
        <v/>
      </c>
      <c r="AH99" s="16">
        <f>IF(G99="","",IFERROR((IF(AE99="",0,가정!$C$31*MIN(1,LOG(AE99+1)/LOG(가정!$C$30)))+IF(AB99="",0,가정!$C$32*(MAX(0,1-AB99/가정!$C$29)*0.6+AC99*0.4))+IF(AD99="",0,가정!$C$33*MAX(0,1-AD99))+IF(V99="",0,가정!$C$34*MIN(1,MAX(0,(V99-가정!$C$27)/(가정!$C$28-가정!$C$27)))))/(IF(AE99="",0,가정!$C$31)+IF(AB99="",0,가정!$C$32)+IF(AD99="",0,가정!$C$33)+IF(V99="",0,가정!$C$34))*100,""))</f>
        <v/>
      </c>
      <c r="AI99" s="17">
        <f>IF(AH99="","",IF(U99&lt;=0,"역마진",IF(AH99&gt;=가정!$C$35,"GO",IF(AH99&gt;=가정!$C$36,"검토","SKIP"))))</f>
        <v/>
      </c>
    </row>
    <row r="100">
      <c r="B100" s="6" t="n">
        <v>93</v>
      </c>
      <c r="C100" s="7" t="n"/>
      <c r="E100" s="7" t="n"/>
      <c r="F100" s="7" t="n"/>
      <c r="G100" s="8" t="n"/>
      <c r="H100" s="8" t="n">
        <v>0</v>
      </c>
      <c r="I100" s="9">
        <f>J100*가정!$C$10</f>
        <v/>
      </c>
      <c r="J100" s="10" t="n"/>
      <c r="K100" s="11">
        <f>가정!$C$14</f>
        <v/>
      </c>
      <c r="L100" s="8" t="n"/>
      <c r="M100" s="8" t="n"/>
      <c r="N100" s="9">
        <f>IF(가정!$C$25="Y",가정!$C$24,G100*가정!$C$16)</f>
        <v/>
      </c>
      <c r="P100" s="9">
        <f>(G100*K100)+(H100*가정!$C$15)</f>
        <v/>
      </c>
      <c r="Q100" s="9">
        <f>IF(가정!$C$5="간이과세",(G100+H100)*0.015,(G100+H100)/11-((L100+M100+N100+P100)/11)-IF(가정!$C$11="정식통관",I100*가정!$C$12,0))</f>
        <v/>
      </c>
      <c r="R100" s="9">
        <f>G100+H100-I100-L100-M100-N100-P100-Q100</f>
        <v/>
      </c>
      <c r="S100" s="9">
        <f>MAX(0,R100)*가정!$C$7</f>
        <v/>
      </c>
      <c r="T100" s="9">
        <f>G100*가정!$C$17</f>
        <v/>
      </c>
      <c r="U100" s="9">
        <f>R100-S100-T100</f>
        <v/>
      </c>
      <c r="V100" s="12">
        <f>IF(G100=0,"",U100/G100)</f>
        <v/>
      </c>
      <c r="X100" s="7" t="n"/>
      <c r="Y100" s="7" t="n"/>
      <c r="Z100" s="7" t="n"/>
      <c r="AA100" s="13" t="n"/>
      <c r="AB100" s="13" t="n"/>
      <c r="AC100" s="14" t="n"/>
      <c r="AD100" s="14" t="n"/>
      <c r="AE100" s="13" t="n"/>
      <c r="AF100" s="15">
        <f>IF((1-K100-가정!$C$16-가정!$C$17-가정!$C$27-1/11)&lt;=0,"",IFERROR((I100+L100+M100)/(1-K100-가정!$C$16-가정!$C$17-가정!$C$27-1/11),""))</f>
        <v/>
      </c>
      <c r="AG100" s="15">
        <f>IF(OR(AA100="",AF100=""),"",AA100-AF100)</f>
        <v/>
      </c>
      <c r="AH100" s="16">
        <f>IF(G100="","",IFERROR((IF(AE100="",0,가정!$C$31*MIN(1,LOG(AE100+1)/LOG(가정!$C$30)))+IF(AB100="",0,가정!$C$32*(MAX(0,1-AB100/가정!$C$29)*0.6+AC100*0.4))+IF(AD100="",0,가정!$C$33*MAX(0,1-AD100))+IF(V100="",0,가정!$C$34*MIN(1,MAX(0,(V100-가정!$C$27)/(가정!$C$28-가정!$C$27)))))/(IF(AE100="",0,가정!$C$31)+IF(AB100="",0,가정!$C$32)+IF(AD100="",0,가정!$C$33)+IF(V100="",0,가정!$C$34))*100,""))</f>
        <v/>
      </c>
      <c r="AI100" s="17">
        <f>IF(AH100="","",IF(U100&lt;=0,"역마진",IF(AH100&gt;=가정!$C$35,"GO",IF(AH100&gt;=가정!$C$36,"검토","SKIP"))))</f>
        <v/>
      </c>
    </row>
    <row r="101">
      <c r="B101" s="6" t="n">
        <v>94</v>
      </c>
      <c r="C101" s="7" t="n"/>
      <c r="E101" s="7" t="n"/>
      <c r="F101" s="7" t="n"/>
      <c r="G101" s="8" t="n"/>
      <c r="H101" s="8" t="n">
        <v>0</v>
      </c>
      <c r="I101" s="9">
        <f>J101*가정!$C$10</f>
        <v/>
      </c>
      <c r="J101" s="10" t="n"/>
      <c r="K101" s="11">
        <f>가정!$C$14</f>
        <v/>
      </c>
      <c r="L101" s="8" t="n"/>
      <c r="M101" s="8" t="n"/>
      <c r="N101" s="9">
        <f>IF(가정!$C$25="Y",가정!$C$24,G101*가정!$C$16)</f>
        <v/>
      </c>
      <c r="P101" s="9">
        <f>(G101*K101)+(H101*가정!$C$15)</f>
        <v/>
      </c>
      <c r="Q101" s="9">
        <f>IF(가정!$C$5="간이과세",(G101+H101)*0.015,(G101+H101)/11-((L101+M101+N101+P101)/11)-IF(가정!$C$11="정식통관",I101*가정!$C$12,0))</f>
        <v/>
      </c>
      <c r="R101" s="9">
        <f>G101+H101-I101-L101-M101-N101-P101-Q101</f>
        <v/>
      </c>
      <c r="S101" s="9">
        <f>MAX(0,R101)*가정!$C$7</f>
        <v/>
      </c>
      <c r="T101" s="9">
        <f>G101*가정!$C$17</f>
        <v/>
      </c>
      <c r="U101" s="9">
        <f>R101-S101-T101</f>
        <v/>
      </c>
      <c r="V101" s="12">
        <f>IF(G101=0,"",U101/G101)</f>
        <v/>
      </c>
      <c r="X101" s="7" t="n"/>
      <c r="Y101" s="7" t="n"/>
      <c r="Z101" s="7" t="n"/>
      <c r="AA101" s="13" t="n"/>
      <c r="AB101" s="13" t="n"/>
      <c r="AC101" s="14" t="n"/>
      <c r="AD101" s="14" t="n"/>
      <c r="AE101" s="13" t="n"/>
      <c r="AF101" s="15">
        <f>IF((1-K101-가정!$C$16-가정!$C$17-가정!$C$27-1/11)&lt;=0,"",IFERROR((I101+L101+M101)/(1-K101-가정!$C$16-가정!$C$17-가정!$C$27-1/11),""))</f>
        <v/>
      </c>
      <c r="AG101" s="15">
        <f>IF(OR(AA101="",AF101=""),"",AA101-AF101)</f>
        <v/>
      </c>
      <c r="AH101" s="16">
        <f>IF(G101="","",IFERROR((IF(AE101="",0,가정!$C$31*MIN(1,LOG(AE101+1)/LOG(가정!$C$30)))+IF(AB101="",0,가정!$C$32*(MAX(0,1-AB101/가정!$C$29)*0.6+AC101*0.4))+IF(AD101="",0,가정!$C$33*MAX(0,1-AD101))+IF(V101="",0,가정!$C$34*MIN(1,MAX(0,(V101-가정!$C$27)/(가정!$C$28-가정!$C$27)))))/(IF(AE101="",0,가정!$C$31)+IF(AB101="",0,가정!$C$32)+IF(AD101="",0,가정!$C$33)+IF(V101="",0,가정!$C$34))*100,""))</f>
        <v/>
      </c>
      <c r="AI101" s="17">
        <f>IF(AH101="","",IF(U101&lt;=0,"역마진",IF(AH101&gt;=가정!$C$35,"GO",IF(AH101&gt;=가정!$C$36,"검토","SKIP"))))</f>
        <v/>
      </c>
    </row>
    <row r="102">
      <c r="B102" s="6" t="n">
        <v>95</v>
      </c>
      <c r="C102" s="7" t="n"/>
      <c r="E102" s="7" t="n"/>
      <c r="F102" s="7" t="n"/>
      <c r="G102" s="8" t="n"/>
      <c r="H102" s="8" t="n">
        <v>0</v>
      </c>
      <c r="I102" s="9">
        <f>J102*가정!$C$10</f>
        <v/>
      </c>
      <c r="J102" s="10" t="n"/>
      <c r="K102" s="11">
        <f>가정!$C$14</f>
        <v/>
      </c>
      <c r="L102" s="8" t="n"/>
      <c r="M102" s="8" t="n"/>
      <c r="N102" s="9">
        <f>IF(가정!$C$25="Y",가정!$C$24,G102*가정!$C$16)</f>
        <v/>
      </c>
      <c r="P102" s="9">
        <f>(G102*K102)+(H102*가정!$C$15)</f>
        <v/>
      </c>
      <c r="Q102" s="9">
        <f>IF(가정!$C$5="간이과세",(G102+H102)*0.015,(G102+H102)/11-((L102+M102+N102+P102)/11)-IF(가정!$C$11="정식통관",I102*가정!$C$12,0))</f>
        <v/>
      </c>
      <c r="R102" s="9">
        <f>G102+H102-I102-L102-M102-N102-P102-Q102</f>
        <v/>
      </c>
      <c r="S102" s="9">
        <f>MAX(0,R102)*가정!$C$7</f>
        <v/>
      </c>
      <c r="T102" s="9">
        <f>G102*가정!$C$17</f>
        <v/>
      </c>
      <c r="U102" s="9">
        <f>R102-S102-T102</f>
        <v/>
      </c>
      <c r="V102" s="12">
        <f>IF(G102=0,"",U102/G102)</f>
        <v/>
      </c>
      <c r="X102" s="7" t="n"/>
      <c r="Y102" s="7" t="n"/>
      <c r="Z102" s="7" t="n"/>
      <c r="AA102" s="13" t="n"/>
      <c r="AB102" s="13" t="n"/>
      <c r="AC102" s="14" t="n"/>
      <c r="AD102" s="14" t="n"/>
      <c r="AE102" s="13" t="n"/>
      <c r="AF102" s="15">
        <f>IF((1-K102-가정!$C$16-가정!$C$17-가정!$C$27-1/11)&lt;=0,"",IFERROR((I102+L102+M102)/(1-K102-가정!$C$16-가정!$C$17-가정!$C$27-1/11),""))</f>
        <v/>
      </c>
      <c r="AG102" s="15">
        <f>IF(OR(AA102="",AF102=""),"",AA102-AF102)</f>
        <v/>
      </c>
      <c r="AH102" s="16">
        <f>IF(G102="","",IFERROR((IF(AE102="",0,가정!$C$31*MIN(1,LOG(AE102+1)/LOG(가정!$C$30)))+IF(AB102="",0,가정!$C$32*(MAX(0,1-AB102/가정!$C$29)*0.6+AC102*0.4))+IF(AD102="",0,가정!$C$33*MAX(0,1-AD102))+IF(V102="",0,가정!$C$34*MIN(1,MAX(0,(V102-가정!$C$27)/(가정!$C$28-가정!$C$27)))))/(IF(AE102="",0,가정!$C$31)+IF(AB102="",0,가정!$C$32)+IF(AD102="",0,가정!$C$33)+IF(V102="",0,가정!$C$34))*100,""))</f>
        <v/>
      </c>
      <c r="AI102" s="17">
        <f>IF(AH102="","",IF(U102&lt;=0,"역마진",IF(AH102&gt;=가정!$C$35,"GO",IF(AH102&gt;=가정!$C$36,"검토","SKIP"))))</f>
        <v/>
      </c>
    </row>
    <row r="103">
      <c r="B103" s="6" t="n">
        <v>96</v>
      </c>
      <c r="C103" s="7" t="n"/>
      <c r="E103" s="7" t="n"/>
      <c r="F103" s="7" t="n"/>
      <c r="G103" s="8" t="n"/>
      <c r="H103" s="8" t="n">
        <v>0</v>
      </c>
      <c r="I103" s="9">
        <f>J103*가정!$C$10</f>
        <v/>
      </c>
      <c r="J103" s="10" t="n"/>
      <c r="K103" s="11">
        <f>가정!$C$14</f>
        <v/>
      </c>
      <c r="L103" s="8" t="n"/>
      <c r="M103" s="8" t="n"/>
      <c r="N103" s="9">
        <f>IF(가정!$C$25="Y",가정!$C$24,G103*가정!$C$16)</f>
        <v/>
      </c>
      <c r="P103" s="9">
        <f>(G103*K103)+(H103*가정!$C$15)</f>
        <v/>
      </c>
      <c r="Q103" s="9">
        <f>IF(가정!$C$5="간이과세",(G103+H103)*0.015,(G103+H103)/11-((L103+M103+N103+P103)/11)-IF(가정!$C$11="정식통관",I103*가정!$C$12,0))</f>
        <v/>
      </c>
      <c r="R103" s="9">
        <f>G103+H103-I103-L103-M103-N103-P103-Q103</f>
        <v/>
      </c>
      <c r="S103" s="9">
        <f>MAX(0,R103)*가정!$C$7</f>
        <v/>
      </c>
      <c r="T103" s="9">
        <f>G103*가정!$C$17</f>
        <v/>
      </c>
      <c r="U103" s="9">
        <f>R103-S103-T103</f>
        <v/>
      </c>
      <c r="V103" s="12">
        <f>IF(G103=0,"",U103/G103)</f>
        <v/>
      </c>
      <c r="X103" s="7" t="n"/>
      <c r="Y103" s="7" t="n"/>
      <c r="Z103" s="7" t="n"/>
      <c r="AA103" s="13" t="n"/>
      <c r="AB103" s="13" t="n"/>
      <c r="AC103" s="14" t="n"/>
      <c r="AD103" s="14" t="n"/>
      <c r="AE103" s="13" t="n"/>
      <c r="AF103" s="15">
        <f>IF((1-K103-가정!$C$16-가정!$C$17-가정!$C$27-1/11)&lt;=0,"",IFERROR((I103+L103+M103)/(1-K103-가정!$C$16-가정!$C$17-가정!$C$27-1/11),""))</f>
        <v/>
      </c>
      <c r="AG103" s="15">
        <f>IF(OR(AA103="",AF103=""),"",AA103-AF103)</f>
        <v/>
      </c>
      <c r="AH103" s="16">
        <f>IF(G103="","",IFERROR((IF(AE103="",0,가정!$C$31*MIN(1,LOG(AE103+1)/LOG(가정!$C$30)))+IF(AB103="",0,가정!$C$32*(MAX(0,1-AB103/가정!$C$29)*0.6+AC103*0.4))+IF(AD103="",0,가정!$C$33*MAX(0,1-AD103))+IF(V103="",0,가정!$C$34*MIN(1,MAX(0,(V103-가정!$C$27)/(가정!$C$28-가정!$C$27)))))/(IF(AE103="",0,가정!$C$31)+IF(AB103="",0,가정!$C$32)+IF(AD103="",0,가정!$C$33)+IF(V103="",0,가정!$C$34))*100,""))</f>
        <v/>
      </c>
      <c r="AI103" s="17">
        <f>IF(AH103="","",IF(U103&lt;=0,"역마진",IF(AH103&gt;=가정!$C$35,"GO",IF(AH103&gt;=가정!$C$36,"검토","SKIP"))))</f>
        <v/>
      </c>
    </row>
    <row r="104">
      <c r="B104" s="6" t="n">
        <v>97</v>
      </c>
      <c r="C104" s="7" t="n"/>
      <c r="E104" s="7" t="n"/>
      <c r="F104" s="7" t="n"/>
      <c r="G104" s="8" t="n"/>
      <c r="H104" s="8" t="n">
        <v>0</v>
      </c>
      <c r="I104" s="9">
        <f>J104*가정!$C$10</f>
        <v/>
      </c>
      <c r="J104" s="10" t="n"/>
      <c r="K104" s="11">
        <f>가정!$C$14</f>
        <v/>
      </c>
      <c r="L104" s="8" t="n"/>
      <c r="M104" s="8" t="n"/>
      <c r="N104" s="9">
        <f>IF(가정!$C$25="Y",가정!$C$24,G104*가정!$C$16)</f>
        <v/>
      </c>
      <c r="P104" s="9">
        <f>(G104*K104)+(H104*가정!$C$15)</f>
        <v/>
      </c>
      <c r="Q104" s="9">
        <f>IF(가정!$C$5="간이과세",(G104+H104)*0.015,(G104+H104)/11-((L104+M104+N104+P104)/11)-IF(가정!$C$11="정식통관",I104*가정!$C$12,0))</f>
        <v/>
      </c>
      <c r="R104" s="9">
        <f>G104+H104-I104-L104-M104-N104-P104-Q104</f>
        <v/>
      </c>
      <c r="S104" s="9">
        <f>MAX(0,R104)*가정!$C$7</f>
        <v/>
      </c>
      <c r="T104" s="9">
        <f>G104*가정!$C$17</f>
        <v/>
      </c>
      <c r="U104" s="9">
        <f>R104-S104-T104</f>
        <v/>
      </c>
      <c r="V104" s="12">
        <f>IF(G104=0,"",U104/G104)</f>
        <v/>
      </c>
      <c r="X104" s="7" t="n"/>
      <c r="Y104" s="7" t="n"/>
      <c r="Z104" s="7" t="n"/>
      <c r="AA104" s="13" t="n"/>
      <c r="AB104" s="13" t="n"/>
      <c r="AC104" s="14" t="n"/>
      <c r="AD104" s="14" t="n"/>
      <c r="AE104" s="13" t="n"/>
      <c r="AF104" s="15">
        <f>IF((1-K104-가정!$C$16-가정!$C$17-가정!$C$27-1/11)&lt;=0,"",IFERROR((I104+L104+M104)/(1-K104-가정!$C$16-가정!$C$17-가정!$C$27-1/11),""))</f>
        <v/>
      </c>
      <c r="AG104" s="15">
        <f>IF(OR(AA104="",AF104=""),"",AA104-AF104)</f>
        <v/>
      </c>
      <c r="AH104" s="16">
        <f>IF(G104="","",IFERROR((IF(AE104="",0,가정!$C$31*MIN(1,LOG(AE104+1)/LOG(가정!$C$30)))+IF(AB104="",0,가정!$C$32*(MAX(0,1-AB104/가정!$C$29)*0.6+AC104*0.4))+IF(AD104="",0,가정!$C$33*MAX(0,1-AD104))+IF(V104="",0,가정!$C$34*MIN(1,MAX(0,(V104-가정!$C$27)/(가정!$C$28-가정!$C$27)))))/(IF(AE104="",0,가정!$C$31)+IF(AB104="",0,가정!$C$32)+IF(AD104="",0,가정!$C$33)+IF(V104="",0,가정!$C$34))*100,""))</f>
        <v/>
      </c>
      <c r="AI104" s="17">
        <f>IF(AH104="","",IF(U104&lt;=0,"역마진",IF(AH104&gt;=가정!$C$35,"GO",IF(AH104&gt;=가정!$C$36,"검토","SKIP"))))</f>
        <v/>
      </c>
    </row>
    <row r="105">
      <c r="B105" s="6" t="n">
        <v>98</v>
      </c>
      <c r="C105" s="7" t="n"/>
      <c r="E105" s="7" t="n"/>
      <c r="F105" s="7" t="n"/>
      <c r="G105" s="8" t="n"/>
      <c r="H105" s="8" t="n">
        <v>0</v>
      </c>
      <c r="I105" s="9">
        <f>J105*가정!$C$10</f>
        <v/>
      </c>
      <c r="J105" s="10" t="n"/>
      <c r="K105" s="11">
        <f>가정!$C$14</f>
        <v/>
      </c>
      <c r="L105" s="8" t="n"/>
      <c r="M105" s="8" t="n"/>
      <c r="N105" s="9">
        <f>IF(가정!$C$25="Y",가정!$C$24,G105*가정!$C$16)</f>
        <v/>
      </c>
      <c r="P105" s="9">
        <f>(G105*K105)+(H105*가정!$C$15)</f>
        <v/>
      </c>
      <c r="Q105" s="9">
        <f>IF(가정!$C$5="간이과세",(G105+H105)*0.015,(G105+H105)/11-((L105+M105+N105+P105)/11)-IF(가정!$C$11="정식통관",I105*가정!$C$12,0))</f>
        <v/>
      </c>
      <c r="R105" s="9">
        <f>G105+H105-I105-L105-M105-N105-P105-Q105</f>
        <v/>
      </c>
      <c r="S105" s="9">
        <f>MAX(0,R105)*가정!$C$7</f>
        <v/>
      </c>
      <c r="T105" s="9">
        <f>G105*가정!$C$17</f>
        <v/>
      </c>
      <c r="U105" s="9">
        <f>R105-S105-T105</f>
        <v/>
      </c>
      <c r="V105" s="12">
        <f>IF(G105=0,"",U105/G105)</f>
        <v/>
      </c>
      <c r="X105" s="7" t="n"/>
      <c r="Y105" s="7" t="n"/>
      <c r="Z105" s="7" t="n"/>
      <c r="AA105" s="13" t="n"/>
      <c r="AB105" s="13" t="n"/>
      <c r="AC105" s="14" t="n"/>
      <c r="AD105" s="14" t="n"/>
      <c r="AE105" s="13" t="n"/>
      <c r="AF105" s="15">
        <f>IF((1-K105-가정!$C$16-가정!$C$17-가정!$C$27-1/11)&lt;=0,"",IFERROR((I105+L105+M105)/(1-K105-가정!$C$16-가정!$C$17-가정!$C$27-1/11),""))</f>
        <v/>
      </c>
      <c r="AG105" s="15">
        <f>IF(OR(AA105="",AF105=""),"",AA105-AF105)</f>
        <v/>
      </c>
      <c r="AH105" s="16">
        <f>IF(G105="","",IFERROR((IF(AE105="",0,가정!$C$31*MIN(1,LOG(AE105+1)/LOG(가정!$C$30)))+IF(AB105="",0,가정!$C$32*(MAX(0,1-AB105/가정!$C$29)*0.6+AC105*0.4))+IF(AD105="",0,가정!$C$33*MAX(0,1-AD105))+IF(V105="",0,가정!$C$34*MIN(1,MAX(0,(V105-가정!$C$27)/(가정!$C$28-가정!$C$27)))))/(IF(AE105="",0,가정!$C$31)+IF(AB105="",0,가정!$C$32)+IF(AD105="",0,가정!$C$33)+IF(V105="",0,가정!$C$34))*100,""))</f>
        <v/>
      </c>
      <c r="AI105" s="17">
        <f>IF(AH105="","",IF(U105&lt;=0,"역마진",IF(AH105&gt;=가정!$C$35,"GO",IF(AH105&gt;=가정!$C$36,"검토","SKIP"))))</f>
        <v/>
      </c>
    </row>
    <row r="106">
      <c r="B106" s="6" t="n">
        <v>99</v>
      </c>
      <c r="C106" s="7" t="n"/>
      <c r="E106" s="7" t="n"/>
      <c r="F106" s="7" t="n"/>
      <c r="G106" s="8" t="n"/>
      <c r="H106" s="8" t="n">
        <v>0</v>
      </c>
      <c r="I106" s="9">
        <f>J106*가정!$C$10</f>
        <v/>
      </c>
      <c r="J106" s="10" t="n"/>
      <c r="K106" s="11">
        <f>가정!$C$14</f>
        <v/>
      </c>
      <c r="L106" s="8" t="n"/>
      <c r="M106" s="8" t="n"/>
      <c r="N106" s="9">
        <f>IF(가정!$C$25="Y",가정!$C$24,G106*가정!$C$16)</f>
        <v/>
      </c>
      <c r="P106" s="9">
        <f>(G106*K106)+(H106*가정!$C$15)</f>
        <v/>
      </c>
      <c r="Q106" s="9">
        <f>IF(가정!$C$5="간이과세",(G106+H106)*0.015,(G106+H106)/11-((L106+M106+N106+P106)/11)-IF(가정!$C$11="정식통관",I106*가정!$C$12,0))</f>
        <v/>
      </c>
      <c r="R106" s="9">
        <f>G106+H106-I106-L106-M106-N106-P106-Q106</f>
        <v/>
      </c>
      <c r="S106" s="9">
        <f>MAX(0,R106)*가정!$C$7</f>
        <v/>
      </c>
      <c r="T106" s="9">
        <f>G106*가정!$C$17</f>
        <v/>
      </c>
      <c r="U106" s="9">
        <f>R106-S106-T106</f>
        <v/>
      </c>
      <c r="V106" s="12">
        <f>IF(G106=0,"",U106/G106)</f>
        <v/>
      </c>
      <c r="X106" s="7" t="n"/>
      <c r="Y106" s="7" t="n"/>
      <c r="Z106" s="7" t="n"/>
      <c r="AA106" s="13" t="n"/>
      <c r="AB106" s="13" t="n"/>
      <c r="AC106" s="14" t="n"/>
      <c r="AD106" s="14" t="n"/>
      <c r="AE106" s="13" t="n"/>
      <c r="AF106" s="15">
        <f>IF((1-K106-가정!$C$16-가정!$C$17-가정!$C$27-1/11)&lt;=0,"",IFERROR((I106+L106+M106)/(1-K106-가정!$C$16-가정!$C$17-가정!$C$27-1/11),""))</f>
        <v/>
      </c>
      <c r="AG106" s="15">
        <f>IF(OR(AA106="",AF106=""),"",AA106-AF106)</f>
        <v/>
      </c>
      <c r="AH106" s="16">
        <f>IF(G106="","",IFERROR((IF(AE106="",0,가정!$C$31*MIN(1,LOG(AE106+1)/LOG(가정!$C$30)))+IF(AB106="",0,가정!$C$32*(MAX(0,1-AB106/가정!$C$29)*0.6+AC106*0.4))+IF(AD106="",0,가정!$C$33*MAX(0,1-AD106))+IF(V106="",0,가정!$C$34*MIN(1,MAX(0,(V106-가정!$C$27)/(가정!$C$28-가정!$C$27)))))/(IF(AE106="",0,가정!$C$31)+IF(AB106="",0,가정!$C$32)+IF(AD106="",0,가정!$C$33)+IF(V106="",0,가정!$C$34))*100,""))</f>
        <v/>
      </c>
      <c r="AI106" s="17">
        <f>IF(AH106="","",IF(U106&lt;=0,"역마진",IF(AH106&gt;=가정!$C$35,"GO",IF(AH106&gt;=가정!$C$36,"검토","SKIP"))))</f>
        <v/>
      </c>
    </row>
    <row r="107">
      <c r="B107" s="6" t="n">
        <v>100</v>
      </c>
      <c r="C107" s="7" t="n"/>
      <c r="E107" s="7" t="n"/>
      <c r="F107" s="7" t="n"/>
      <c r="G107" s="8" t="n"/>
      <c r="H107" s="8" t="n">
        <v>0</v>
      </c>
      <c r="I107" s="9">
        <f>J107*가정!$C$10</f>
        <v/>
      </c>
      <c r="J107" s="10" t="n"/>
      <c r="K107" s="11">
        <f>가정!$C$14</f>
        <v/>
      </c>
      <c r="L107" s="8" t="n"/>
      <c r="M107" s="8" t="n"/>
      <c r="N107" s="9">
        <f>IF(가정!$C$25="Y",가정!$C$24,G107*가정!$C$16)</f>
        <v/>
      </c>
      <c r="P107" s="9">
        <f>(G107*K107)+(H107*가정!$C$15)</f>
        <v/>
      </c>
      <c r="Q107" s="9">
        <f>IF(가정!$C$5="간이과세",(G107+H107)*0.015,(G107+H107)/11-((L107+M107+N107+P107)/11)-IF(가정!$C$11="정식통관",I107*가정!$C$12,0))</f>
        <v/>
      </c>
      <c r="R107" s="9">
        <f>G107+H107-I107-L107-M107-N107-P107-Q107</f>
        <v/>
      </c>
      <c r="S107" s="9">
        <f>MAX(0,R107)*가정!$C$7</f>
        <v/>
      </c>
      <c r="T107" s="9">
        <f>G107*가정!$C$17</f>
        <v/>
      </c>
      <c r="U107" s="9">
        <f>R107-S107-T107</f>
        <v/>
      </c>
      <c r="V107" s="12">
        <f>IF(G107=0,"",U107/G107)</f>
        <v/>
      </c>
      <c r="X107" s="7" t="n"/>
      <c r="Y107" s="7" t="n"/>
      <c r="Z107" s="7" t="n"/>
      <c r="AA107" s="13" t="n"/>
      <c r="AB107" s="13" t="n"/>
      <c r="AC107" s="14" t="n"/>
      <c r="AD107" s="14" t="n"/>
      <c r="AE107" s="13" t="n"/>
      <c r="AF107" s="15">
        <f>IF((1-K107-가정!$C$16-가정!$C$17-가정!$C$27-1/11)&lt;=0,"",IFERROR((I107+L107+M107)/(1-K107-가정!$C$16-가정!$C$17-가정!$C$27-1/11),""))</f>
        <v/>
      </c>
      <c r="AG107" s="15">
        <f>IF(OR(AA107="",AF107=""),"",AA107-AF107)</f>
        <v/>
      </c>
      <c r="AH107" s="16">
        <f>IF(G107="","",IFERROR((IF(AE107="",0,가정!$C$31*MIN(1,LOG(AE107+1)/LOG(가정!$C$30)))+IF(AB107="",0,가정!$C$32*(MAX(0,1-AB107/가정!$C$29)*0.6+AC107*0.4))+IF(AD107="",0,가정!$C$33*MAX(0,1-AD107))+IF(V107="",0,가정!$C$34*MIN(1,MAX(0,(V107-가정!$C$27)/(가정!$C$28-가정!$C$27)))))/(IF(AE107="",0,가정!$C$31)+IF(AB107="",0,가정!$C$32)+IF(AD107="",0,가정!$C$33)+IF(V107="",0,가정!$C$34))*100,""))</f>
        <v/>
      </c>
      <c r="AI107" s="17">
        <f>IF(AH107="","",IF(U107&lt;=0,"역마진",IF(AH107&gt;=가정!$C$35,"GO",IF(AH107&gt;=가정!$C$36,"검토","SKIP"))))</f>
        <v/>
      </c>
    </row>
    <row r="108">
      <c r="B108" s="6" t="n">
        <v>101</v>
      </c>
      <c r="C108" s="7" t="n"/>
      <c r="E108" s="7" t="n"/>
      <c r="F108" s="7" t="n"/>
      <c r="G108" s="8" t="n"/>
      <c r="H108" s="8" t="n">
        <v>0</v>
      </c>
      <c r="I108" s="9">
        <f>J108*가정!$C$10</f>
        <v/>
      </c>
      <c r="J108" s="10" t="n"/>
      <c r="K108" s="11">
        <f>가정!$C$14</f>
        <v/>
      </c>
      <c r="L108" s="8" t="n"/>
      <c r="M108" s="8" t="n"/>
      <c r="N108" s="9">
        <f>IF(가정!$C$25="Y",가정!$C$24,G108*가정!$C$16)</f>
        <v/>
      </c>
      <c r="P108" s="9">
        <f>(G108*K108)+(H108*가정!$C$15)</f>
        <v/>
      </c>
      <c r="Q108" s="9">
        <f>IF(가정!$C$5="간이과세",(G108+H108)*0.015,(G108+H108)/11-((L108+M108+N108+P108)/11)-IF(가정!$C$11="정식통관",I108*가정!$C$12,0))</f>
        <v/>
      </c>
      <c r="R108" s="9">
        <f>G108+H108-I108-L108-M108-N108-P108-Q108</f>
        <v/>
      </c>
      <c r="S108" s="9">
        <f>MAX(0,R108)*가정!$C$7</f>
        <v/>
      </c>
      <c r="T108" s="9">
        <f>G108*가정!$C$17</f>
        <v/>
      </c>
      <c r="U108" s="9">
        <f>R108-S108-T108</f>
        <v/>
      </c>
      <c r="V108" s="12">
        <f>IF(G108=0,"",U108/G108)</f>
        <v/>
      </c>
      <c r="X108" s="7" t="n"/>
      <c r="Y108" s="7" t="n"/>
      <c r="Z108" s="7" t="n"/>
      <c r="AA108" s="13" t="n"/>
      <c r="AB108" s="13" t="n"/>
      <c r="AC108" s="14" t="n"/>
      <c r="AD108" s="14" t="n"/>
      <c r="AE108" s="13" t="n"/>
      <c r="AF108" s="15">
        <f>IF((1-K108-가정!$C$16-가정!$C$17-가정!$C$27-1/11)&lt;=0,"",IFERROR((I108+L108+M108)/(1-K108-가정!$C$16-가정!$C$17-가정!$C$27-1/11),""))</f>
        <v/>
      </c>
      <c r="AG108" s="15">
        <f>IF(OR(AA108="",AF108=""),"",AA108-AF108)</f>
        <v/>
      </c>
      <c r="AH108" s="16">
        <f>IF(G108="","",IFERROR((IF(AE108="",0,가정!$C$31*MIN(1,LOG(AE108+1)/LOG(가정!$C$30)))+IF(AB108="",0,가정!$C$32*(MAX(0,1-AB108/가정!$C$29)*0.6+AC108*0.4))+IF(AD108="",0,가정!$C$33*MAX(0,1-AD108))+IF(V108="",0,가정!$C$34*MIN(1,MAX(0,(V108-가정!$C$27)/(가정!$C$28-가정!$C$27)))))/(IF(AE108="",0,가정!$C$31)+IF(AB108="",0,가정!$C$32)+IF(AD108="",0,가정!$C$33)+IF(V108="",0,가정!$C$34))*100,""))</f>
        <v/>
      </c>
      <c r="AI108" s="17">
        <f>IF(AH108="","",IF(U108&lt;=0,"역마진",IF(AH108&gt;=가정!$C$35,"GO",IF(AH108&gt;=가정!$C$36,"검토","SKIP"))))</f>
        <v/>
      </c>
    </row>
    <row r="109">
      <c r="B109" s="6" t="n">
        <v>102</v>
      </c>
      <c r="C109" s="7" t="n"/>
      <c r="E109" s="7" t="n"/>
      <c r="F109" s="7" t="n"/>
      <c r="G109" s="8" t="n"/>
      <c r="H109" s="8" t="n">
        <v>0</v>
      </c>
      <c r="I109" s="9">
        <f>J109*가정!$C$10</f>
        <v/>
      </c>
      <c r="J109" s="10" t="n"/>
      <c r="K109" s="11">
        <f>가정!$C$14</f>
        <v/>
      </c>
      <c r="L109" s="8" t="n"/>
      <c r="M109" s="8" t="n"/>
      <c r="N109" s="9">
        <f>IF(가정!$C$25="Y",가정!$C$24,G109*가정!$C$16)</f>
        <v/>
      </c>
      <c r="P109" s="9">
        <f>(G109*K109)+(H109*가정!$C$15)</f>
        <v/>
      </c>
      <c r="Q109" s="9">
        <f>IF(가정!$C$5="간이과세",(G109+H109)*0.015,(G109+H109)/11-((L109+M109+N109+P109)/11)-IF(가정!$C$11="정식통관",I109*가정!$C$12,0))</f>
        <v/>
      </c>
      <c r="R109" s="9">
        <f>G109+H109-I109-L109-M109-N109-P109-Q109</f>
        <v/>
      </c>
      <c r="S109" s="9">
        <f>MAX(0,R109)*가정!$C$7</f>
        <v/>
      </c>
      <c r="T109" s="9">
        <f>G109*가정!$C$17</f>
        <v/>
      </c>
      <c r="U109" s="9">
        <f>R109-S109-T109</f>
        <v/>
      </c>
      <c r="V109" s="12">
        <f>IF(G109=0,"",U109/G109)</f>
        <v/>
      </c>
      <c r="X109" s="7" t="n"/>
      <c r="Y109" s="7" t="n"/>
      <c r="Z109" s="7" t="n"/>
      <c r="AA109" s="13" t="n"/>
      <c r="AB109" s="13" t="n"/>
      <c r="AC109" s="14" t="n"/>
      <c r="AD109" s="14" t="n"/>
      <c r="AE109" s="13" t="n"/>
      <c r="AF109" s="15">
        <f>IF((1-K109-가정!$C$16-가정!$C$17-가정!$C$27-1/11)&lt;=0,"",IFERROR((I109+L109+M109)/(1-K109-가정!$C$16-가정!$C$17-가정!$C$27-1/11),""))</f>
        <v/>
      </c>
      <c r="AG109" s="15">
        <f>IF(OR(AA109="",AF109=""),"",AA109-AF109)</f>
        <v/>
      </c>
      <c r="AH109" s="16">
        <f>IF(G109="","",IFERROR((IF(AE109="",0,가정!$C$31*MIN(1,LOG(AE109+1)/LOG(가정!$C$30)))+IF(AB109="",0,가정!$C$32*(MAX(0,1-AB109/가정!$C$29)*0.6+AC109*0.4))+IF(AD109="",0,가정!$C$33*MAX(0,1-AD109))+IF(V109="",0,가정!$C$34*MIN(1,MAX(0,(V109-가정!$C$27)/(가정!$C$28-가정!$C$27)))))/(IF(AE109="",0,가정!$C$31)+IF(AB109="",0,가정!$C$32)+IF(AD109="",0,가정!$C$33)+IF(V109="",0,가정!$C$34))*100,""))</f>
        <v/>
      </c>
      <c r="AI109" s="17">
        <f>IF(AH109="","",IF(U109&lt;=0,"역마진",IF(AH109&gt;=가정!$C$35,"GO",IF(AH109&gt;=가정!$C$36,"검토","SKIP"))))</f>
        <v/>
      </c>
    </row>
    <row r="110">
      <c r="B110" s="6" t="n">
        <v>103</v>
      </c>
      <c r="C110" s="7" t="n"/>
      <c r="E110" s="7" t="n"/>
      <c r="F110" s="7" t="n"/>
      <c r="G110" s="8" t="n"/>
      <c r="H110" s="8" t="n">
        <v>0</v>
      </c>
      <c r="I110" s="9">
        <f>J110*가정!$C$10</f>
        <v/>
      </c>
      <c r="J110" s="10" t="n"/>
      <c r="K110" s="11">
        <f>가정!$C$14</f>
        <v/>
      </c>
      <c r="L110" s="8" t="n"/>
      <c r="M110" s="8" t="n"/>
      <c r="N110" s="9">
        <f>IF(가정!$C$25="Y",가정!$C$24,G110*가정!$C$16)</f>
        <v/>
      </c>
      <c r="P110" s="9">
        <f>(G110*K110)+(H110*가정!$C$15)</f>
        <v/>
      </c>
      <c r="Q110" s="9">
        <f>IF(가정!$C$5="간이과세",(G110+H110)*0.015,(G110+H110)/11-((L110+M110+N110+P110)/11)-IF(가정!$C$11="정식통관",I110*가정!$C$12,0))</f>
        <v/>
      </c>
      <c r="R110" s="9">
        <f>G110+H110-I110-L110-M110-N110-P110-Q110</f>
        <v/>
      </c>
      <c r="S110" s="9">
        <f>MAX(0,R110)*가정!$C$7</f>
        <v/>
      </c>
      <c r="T110" s="9">
        <f>G110*가정!$C$17</f>
        <v/>
      </c>
      <c r="U110" s="9">
        <f>R110-S110-T110</f>
        <v/>
      </c>
      <c r="V110" s="12">
        <f>IF(G110=0,"",U110/G110)</f>
        <v/>
      </c>
      <c r="X110" s="7" t="n"/>
      <c r="Y110" s="7" t="n"/>
      <c r="Z110" s="7" t="n"/>
      <c r="AA110" s="13" t="n"/>
      <c r="AB110" s="13" t="n"/>
      <c r="AC110" s="14" t="n"/>
      <c r="AD110" s="14" t="n"/>
      <c r="AE110" s="13" t="n"/>
      <c r="AF110" s="15">
        <f>IF((1-K110-가정!$C$16-가정!$C$17-가정!$C$27-1/11)&lt;=0,"",IFERROR((I110+L110+M110)/(1-K110-가정!$C$16-가정!$C$17-가정!$C$27-1/11),""))</f>
        <v/>
      </c>
      <c r="AG110" s="15">
        <f>IF(OR(AA110="",AF110=""),"",AA110-AF110)</f>
        <v/>
      </c>
      <c r="AH110" s="16">
        <f>IF(G110="","",IFERROR((IF(AE110="",0,가정!$C$31*MIN(1,LOG(AE110+1)/LOG(가정!$C$30)))+IF(AB110="",0,가정!$C$32*(MAX(0,1-AB110/가정!$C$29)*0.6+AC110*0.4))+IF(AD110="",0,가정!$C$33*MAX(0,1-AD110))+IF(V110="",0,가정!$C$34*MIN(1,MAX(0,(V110-가정!$C$27)/(가정!$C$28-가정!$C$27)))))/(IF(AE110="",0,가정!$C$31)+IF(AB110="",0,가정!$C$32)+IF(AD110="",0,가정!$C$33)+IF(V110="",0,가정!$C$34))*100,""))</f>
        <v/>
      </c>
      <c r="AI110" s="17">
        <f>IF(AH110="","",IF(U110&lt;=0,"역마진",IF(AH110&gt;=가정!$C$35,"GO",IF(AH110&gt;=가정!$C$36,"검토","SKIP"))))</f>
        <v/>
      </c>
    </row>
    <row r="111">
      <c r="B111" s="6" t="n">
        <v>104</v>
      </c>
      <c r="C111" s="7" t="n"/>
      <c r="E111" s="7" t="n"/>
      <c r="F111" s="7" t="n"/>
      <c r="G111" s="8" t="n"/>
      <c r="H111" s="8" t="n">
        <v>0</v>
      </c>
      <c r="I111" s="9">
        <f>J111*가정!$C$10</f>
        <v/>
      </c>
      <c r="J111" s="10" t="n"/>
      <c r="K111" s="11">
        <f>가정!$C$14</f>
        <v/>
      </c>
      <c r="L111" s="8" t="n"/>
      <c r="M111" s="8" t="n"/>
      <c r="N111" s="9">
        <f>IF(가정!$C$25="Y",가정!$C$24,G111*가정!$C$16)</f>
        <v/>
      </c>
      <c r="P111" s="9">
        <f>(G111*K111)+(H111*가정!$C$15)</f>
        <v/>
      </c>
      <c r="Q111" s="9">
        <f>IF(가정!$C$5="간이과세",(G111+H111)*0.015,(G111+H111)/11-((L111+M111+N111+P111)/11)-IF(가정!$C$11="정식통관",I111*가정!$C$12,0))</f>
        <v/>
      </c>
      <c r="R111" s="9">
        <f>G111+H111-I111-L111-M111-N111-P111-Q111</f>
        <v/>
      </c>
      <c r="S111" s="9">
        <f>MAX(0,R111)*가정!$C$7</f>
        <v/>
      </c>
      <c r="T111" s="9">
        <f>G111*가정!$C$17</f>
        <v/>
      </c>
      <c r="U111" s="9">
        <f>R111-S111-T111</f>
        <v/>
      </c>
      <c r="V111" s="12">
        <f>IF(G111=0,"",U111/G111)</f>
        <v/>
      </c>
      <c r="X111" s="7" t="n"/>
      <c r="Y111" s="7" t="n"/>
      <c r="Z111" s="7" t="n"/>
      <c r="AA111" s="13" t="n"/>
      <c r="AB111" s="13" t="n"/>
      <c r="AC111" s="14" t="n"/>
      <c r="AD111" s="14" t="n"/>
      <c r="AE111" s="13" t="n"/>
      <c r="AF111" s="15">
        <f>IF((1-K111-가정!$C$16-가정!$C$17-가정!$C$27-1/11)&lt;=0,"",IFERROR((I111+L111+M111)/(1-K111-가정!$C$16-가정!$C$17-가정!$C$27-1/11),""))</f>
        <v/>
      </c>
      <c r="AG111" s="15">
        <f>IF(OR(AA111="",AF111=""),"",AA111-AF111)</f>
        <v/>
      </c>
      <c r="AH111" s="16">
        <f>IF(G111="","",IFERROR((IF(AE111="",0,가정!$C$31*MIN(1,LOG(AE111+1)/LOG(가정!$C$30)))+IF(AB111="",0,가정!$C$32*(MAX(0,1-AB111/가정!$C$29)*0.6+AC111*0.4))+IF(AD111="",0,가정!$C$33*MAX(0,1-AD111))+IF(V111="",0,가정!$C$34*MIN(1,MAX(0,(V111-가정!$C$27)/(가정!$C$28-가정!$C$27)))))/(IF(AE111="",0,가정!$C$31)+IF(AB111="",0,가정!$C$32)+IF(AD111="",0,가정!$C$33)+IF(V111="",0,가정!$C$34))*100,""))</f>
        <v/>
      </c>
      <c r="AI111" s="17">
        <f>IF(AH111="","",IF(U111&lt;=0,"역마진",IF(AH111&gt;=가정!$C$35,"GO",IF(AH111&gt;=가정!$C$36,"검토","SKIP"))))</f>
        <v/>
      </c>
    </row>
    <row r="112">
      <c r="B112" s="6" t="n">
        <v>105</v>
      </c>
      <c r="C112" s="7" t="n"/>
      <c r="E112" s="7" t="n"/>
      <c r="F112" s="7" t="n"/>
      <c r="G112" s="8" t="n"/>
      <c r="H112" s="8" t="n">
        <v>0</v>
      </c>
      <c r="I112" s="9">
        <f>J112*가정!$C$10</f>
        <v/>
      </c>
      <c r="J112" s="10" t="n"/>
      <c r="K112" s="11">
        <f>가정!$C$14</f>
        <v/>
      </c>
      <c r="L112" s="8" t="n"/>
      <c r="M112" s="8" t="n"/>
      <c r="N112" s="9">
        <f>IF(가정!$C$25="Y",가정!$C$24,G112*가정!$C$16)</f>
        <v/>
      </c>
      <c r="P112" s="9">
        <f>(G112*K112)+(H112*가정!$C$15)</f>
        <v/>
      </c>
      <c r="Q112" s="9">
        <f>IF(가정!$C$5="간이과세",(G112+H112)*0.015,(G112+H112)/11-((L112+M112+N112+P112)/11)-IF(가정!$C$11="정식통관",I112*가정!$C$12,0))</f>
        <v/>
      </c>
      <c r="R112" s="9">
        <f>G112+H112-I112-L112-M112-N112-P112-Q112</f>
        <v/>
      </c>
      <c r="S112" s="9">
        <f>MAX(0,R112)*가정!$C$7</f>
        <v/>
      </c>
      <c r="T112" s="9">
        <f>G112*가정!$C$17</f>
        <v/>
      </c>
      <c r="U112" s="9">
        <f>R112-S112-T112</f>
        <v/>
      </c>
      <c r="V112" s="12">
        <f>IF(G112=0,"",U112/G112)</f>
        <v/>
      </c>
      <c r="X112" s="7" t="n"/>
      <c r="Y112" s="7" t="n"/>
      <c r="Z112" s="7" t="n"/>
      <c r="AA112" s="13" t="n"/>
      <c r="AB112" s="13" t="n"/>
      <c r="AC112" s="14" t="n"/>
      <c r="AD112" s="14" t="n"/>
      <c r="AE112" s="13" t="n"/>
      <c r="AF112" s="15">
        <f>IF((1-K112-가정!$C$16-가정!$C$17-가정!$C$27-1/11)&lt;=0,"",IFERROR((I112+L112+M112)/(1-K112-가정!$C$16-가정!$C$17-가정!$C$27-1/11),""))</f>
        <v/>
      </c>
      <c r="AG112" s="15">
        <f>IF(OR(AA112="",AF112=""),"",AA112-AF112)</f>
        <v/>
      </c>
      <c r="AH112" s="16">
        <f>IF(G112="","",IFERROR((IF(AE112="",0,가정!$C$31*MIN(1,LOG(AE112+1)/LOG(가정!$C$30)))+IF(AB112="",0,가정!$C$32*(MAX(0,1-AB112/가정!$C$29)*0.6+AC112*0.4))+IF(AD112="",0,가정!$C$33*MAX(0,1-AD112))+IF(V112="",0,가정!$C$34*MIN(1,MAX(0,(V112-가정!$C$27)/(가정!$C$28-가정!$C$27)))))/(IF(AE112="",0,가정!$C$31)+IF(AB112="",0,가정!$C$32)+IF(AD112="",0,가정!$C$33)+IF(V112="",0,가정!$C$34))*100,""))</f>
        <v/>
      </c>
      <c r="AI112" s="17">
        <f>IF(AH112="","",IF(U112&lt;=0,"역마진",IF(AH112&gt;=가정!$C$35,"GO",IF(AH112&gt;=가정!$C$36,"검토","SKIP"))))</f>
        <v/>
      </c>
    </row>
    <row r="113">
      <c r="B113" s="6" t="n">
        <v>106</v>
      </c>
      <c r="C113" s="7" t="n"/>
      <c r="E113" s="7" t="n"/>
      <c r="F113" s="7" t="n"/>
      <c r="G113" s="8" t="n"/>
      <c r="H113" s="8" t="n">
        <v>0</v>
      </c>
      <c r="I113" s="9">
        <f>J113*가정!$C$10</f>
        <v/>
      </c>
      <c r="J113" s="10" t="n"/>
      <c r="K113" s="11">
        <f>가정!$C$14</f>
        <v/>
      </c>
      <c r="L113" s="8" t="n"/>
      <c r="M113" s="8" t="n"/>
      <c r="N113" s="9">
        <f>IF(가정!$C$25="Y",가정!$C$24,G113*가정!$C$16)</f>
        <v/>
      </c>
      <c r="P113" s="9">
        <f>(G113*K113)+(H113*가정!$C$15)</f>
        <v/>
      </c>
      <c r="Q113" s="9">
        <f>IF(가정!$C$5="간이과세",(G113+H113)*0.015,(G113+H113)/11-((L113+M113+N113+P113)/11)-IF(가정!$C$11="정식통관",I113*가정!$C$12,0))</f>
        <v/>
      </c>
      <c r="R113" s="9">
        <f>G113+H113-I113-L113-M113-N113-P113-Q113</f>
        <v/>
      </c>
      <c r="S113" s="9">
        <f>MAX(0,R113)*가정!$C$7</f>
        <v/>
      </c>
      <c r="T113" s="9">
        <f>G113*가정!$C$17</f>
        <v/>
      </c>
      <c r="U113" s="9">
        <f>R113-S113-T113</f>
        <v/>
      </c>
      <c r="V113" s="12">
        <f>IF(G113=0,"",U113/G113)</f>
        <v/>
      </c>
      <c r="X113" s="7" t="n"/>
      <c r="Y113" s="7" t="n"/>
      <c r="Z113" s="7" t="n"/>
      <c r="AA113" s="13" t="n"/>
      <c r="AB113" s="13" t="n"/>
      <c r="AC113" s="14" t="n"/>
      <c r="AD113" s="14" t="n"/>
      <c r="AE113" s="13" t="n"/>
      <c r="AF113" s="15">
        <f>IF((1-K113-가정!$C$16-가정!$C$17-가정!$C$27-1/11)&lt;=0,"",IFERROR((I113+L113+M113)/(1-K113-가정!$C$16-가정!$C$17-가정!$C$27-1/11),""))</f>
        <v/>
      </c>
      <c r="AG113" s="15">
        <f>IF(OR(AA113="",AF113=""),"",AA113-AF113)</f>
        <v/>
      </c>
      <c r="AH113" s="16">
        <f>IF(G113="","",IFERROR((IF(AE113="",0,가정!$C$31*MIN(1,LOG(AE113+1)/LOG(가정!$C$30)))+IF(AB113="",0,가정!$C$32*(MAX(0,1-AB113/가정!$C$29)*0.6+AC113*0.4))+IF(AD113="",0,가정!$C$33*MAX(0,1-AD113))+IF(V113="",0,가정!$C$34*MIN(1,MAX(0,(V113-가정!$C$27)/(가정!$C$28-가정!$C$27)))))/(IF(AE113="",0,가정!$C$31)+IF(AB113="",0,가정!$C$32)+IF(AD113="",0,가정!$C$33)+IF(V113="",0,가정!$C$34))*100,""))</f>
        <v/>
      </c>
      <c r="AI113" s="17">
        <f>IF(AH113="","",IF(U113&lt;=0,"역마진",IF(AH113&gt;=가정!$C$35,"GO",IF(AH113&gt;=가정!$C$36,"검토","SKIP"))))</f>
        <v/>
      </c>
    </row>
    <row r="114">
      <c r="B114" s="6" t="n">
        <v>107</v>
      </c>
      <c r="C114" s="7" t="n"/>
      <c r="E114" s="7" t="n"/>
      <c r="F114" s="7" t="n"/>
      <c r="G114" s="8" t="n"/>
      <c r="H114" s="8" t="n">
        <v>0</v>
      </c>
      <c r="I114" s="9">
        <f>J114*가정!$C$10</f>
        <v/>
      </c>
      <c r="J114" s="10" t="n"/>
      <c r="K114" s="11">
        <f>가정!$C$14</f>
        <v/>
      </c>
      <c r="L114" s="8" t="n"/>
      <c r="M114" s="8" t="n"/>
      <c r="N114" s="9">
        <f>IF(가정!$C$25="Y",가정!$C$24,G114*가정!$C$16)</f>
        <v/>
      </c>
      <c r="P114" s="9">
        <f>(G114*K114)+(H114*가정!$C$15)</f>
        <v/>
      </c>
      <c r="Q114" s="9">
        <f>IF(가정!$C$5="간이과세",(G114+H114)*0.015,(G114+H114)/11-((L114+M114+N114+P114)/11)-IF(가정!$C$11="정식통관",I114*가정!$C$12,0))</f>
        <v/>
      </c>
      <c r="R114" s="9">
        <f>G114+H114-I114-L114-M114-N114-P114-Q114</f>
        <v/>
      </c>
      <c r="S114" s="9">
        <f>MAX(0,R114)*가정!$C$7</f>
        <v/>
      </c>
      <c r="T114" s="9">
        <f>G114*가정!$C$17</f>
        <v/>
      </c>
      <c r="U114" s="9">
        <f>R114-S114-T114</f>
        <v/>
      </c>
      <c r="V114" s="12">
        <f>IF(G114=0,"",U114/G114)</f>
        <v/>
      </c>
      <c r="X114" s="7" t="n"/>
      <c r="Y114" s="7" t="n"/>
      <c r="Z114" s="7" t="n"/>
      <c r="AA114" s="13" t="n"/>
      <c r="AB114" s="13" t="n"/>
      <c r="AC114" s="14" t="n"/>
      <c r="AD114" s="14" t="n"/>
      <c r="AE114" s="13" t="n"/>
      <c r="AF114" s="15">
        <f>IF((1-K114-가정!$C$16-가정!$C$17-가정!$C$27-1/11)&lt;=0,"",IFERROR((I114+L114+M114)/(1-K114-가정!$C$16-가정!$C$17-가정!$C$27-1/11),""))</f>
        <v/>
      </c>
      <c r="AG114" s="15">
        <f>IF(OR(AA114="",AF114=""),"",AA114-AF114)</f>
        <v/>
      </c>
      <c r="AH114" s="16">
        <f>IF(G114="","",IFERROR((IF(AE114="",0,가정!$C$31*MIN(1,LOG(AE114+1)/LOG(가정!$C$30)))+IF(AB114="",0,가정!$C$32*(MAX(0,1-AB114/가정!$C$29)*0.6+AC114*0.4))+IF(AD114="",0,가정!$C$33*MAX(0,1-AD114))+IF(V114="",0,가정!$C$34*MIN(1,MAX(0,(V114-가정!$C$27)/(가정!$C$28-가정!$C$27)))))/(IF(AE114="",0,가정!$C$31)+IF(AB114="",0,가정!$C$32)+IF(AD114="",0,가정!$C$33)+IF(V114="",0,가정!$C$34))*100,""))</f>
        <v/>
      </c>
      <c r="AI114" s="17">
        <f>IF(AH114="","",IF(U114&lt;=0,"역마진",IF(AH114&gt;=가정!$C$35,"GO",IF(AH114&gt;=가정!$C$36,"검토","SKIP"))))</f>
        <v/>
      </c>
    </row>
    <row r="115">
      <c r="B115" s="6" t="n">
        <v>108</v>
      </c>
      <c r="C115" s="7" t="n"/>
      <c r="E115" s="7" t="n"/>
      <c r="F115" s="7" t="n"/>
      <c r="G115" s="8" t="n"/>
      <c r="H115" s="8" t="n">
        <v>0</v>
      </c>
      <c r="I115" s="9">
        <f>J115*가정!$C$10</f>
        <v/>
      </c>
      <c r="J115" s="10" t="n"/>
      <c r="K115" s="11">
        <f>가정!$C$14</f>
        <v/>
      </c>
      <c r="L115" s="8" t="n"/>
      <c r="M115" s="8" t="n"/>
      <c r="N115" s="9">
        <f>IF(가정!$C$25="Y",가정!$C$24,G115*가정!$C$16)</f>
        <v/>
      </c>
      <c r="P115" s="9">
        <f>(G115*K115)+(H115*가정!$C$15)</f>
        <v/>
      </c>
      <c r="Q115" s="9">
        <f>IF(가정!$C$5="간이과세",(G115+H115)*0.015,(G115+H115)/11-((L115+M115+N115+P115)/11)-IF(가정!$C$11="정식통관",I115*가정!$C$12,0))</f>
        <v/>
      </c>
      <c r="R115" s="9">
        <f>G115+H115-I115-L115-M115-N115-P115-Q115</f>
        <v/>
      </c>
      <c r="S115" s="9">
        <f>MAX(0,R115)*가정!$C$7</f>
        <v/>
      </c>
      <c r="T115" s="9">
        <f>G115*가정!$C$17</f>
        <v/>
      </c>
      <c r="U115" s="9">
        <f>R115-S115-T115</f>
        <v/>
      </c>
      <c r="V115" s="12">
        <f>IF(G115=0,"",U115/G115)</f>
        <v/>
      </c>
      <c r="X115" s="7" t="n"/>
      <c r="Y115" s="7" t="n"/>
      <c r="Z115" s="7" t="n"/>
      <c r="AA115" s="13" t="n"/>
      <c r="AB115" s="13" t="n"/>
      <c r="AC115" s="14" t="n"/>
      <c r="AD115" s="14" t="n"/>
      <c r="AE115" s="13" t="n"/>
      <c r="AF115" s="15">
        <f>IF((1-K115-가정!$C$16-가정!$C$17-가정!$C$27-1/11)&lt;=0,"",IFERROR((I115+L115+M115)/(1-K115-가정!$C$16-가정!$C$17-가정!$C$27-1/11),""))</f>
        <v/>
      </c>
      <c r="AG115" s="15">
        <f>IF(OR(AA115="",AF115=""),"",AA115-AF115)</f>
        <v/>
      </c>
      <c r="AH115" s="16">
        <f>IF(G115="","",IFERROR((IF(AE115="",0,가정!$C$31*MIN(1,LOG(AE115+1)/LOG(가정!$C$30)))+IF(AB115="",0,가정!$C$32*(MAX(0,1-AB115/가정!$C$29)*0.6+AC115*0.4))+IF(AD115="",0,가정!$C$33*MAX(0,1-AD115))+IF(V115="",0,가정!$C$34*MIN(1,MAX(0,(V115-가정!$C$27)/(가정!$C$28-가정!$C$27)))))/(IF(AE115="",0,가정!$C$31)+IF(AB115="",0,가정!$C$32)+IF(AD115="",0,가정!$C$33)+IF(V115="",0,가정!$C$34))*100,""))</f>
        <v/>
      </c>
      <c r="AI115" s="17">
        <f>IF(AH115="","",IF(U115&lt;=0,"역마진",IF(AH115&gt;=가정!$C$35,"GO",IF(AH115&gt;=가정!$C$36,"검토","SKIP"))))</f>
        <v/>
      </c>
    </row>
    <row r="116">
      <c r="B116" s="6" t="n">
        <v>109</v>
      </c>
      <c r="C116" s="7" t="n"/>
      <c r="E116" s="7" t="n"/>
      <c r="F116" s="7" t="n"/>
      <c r="G116" s="8" t="n"/>
      <c r="H116" s="8" t="n">
        <v>0</v>
      </c>
      <c r="I116" s="9">
        <f>J116*가정!$C$10</f>
        <v/>
      </c>
      <c r="J116" s="10" t="n"/>
      <c r="K116" s="11">
        <f>가정!$C$14</f>
        <v/>
      </c>
      <c r="L116" s="8" t="n"/>
      <c r="M116" s="8" t="n"/>
      <c r="N116" s="9">
        <f>IF(가정!$C$25="Y",가정!$C$24,G116*가정!$C$16)</f>
        <v/>
      </c>
      <c r="P116" s="9">
        <f>(G116*K116)+(H116*가정!$C$15)</f>
        <v/>
      </c>
      <c r="Q116" s="9">
        <f>IF(가정!$C$5="간이과세",(G116+H116)*0.015,(G116+H116)/11-((L116+M116+N116+P116)/11)-IF(가정!$C$11="정식통관",I116*가정!$C$12,0))</f>
        <v/>
      </c>
      <c r="R116" s="9">
        <f>G116+H116-I116-L116-M116-N116-P116-Q116</f>
        <v/>
      </c>
      <c r="S116" s="9">
        <f>MAX(0,R116)*가정!$C$7</f>
        <v/>
      </c>
      <c r="T116" s="9">
        <f>G116*가정!$C$17</f>
        <v/>
      </c>
      <c r="U116" s="9">
        <f>R116-S116-T116</f>
        <v/>
      </c>
      <c r="V116" s="12">
        <f>IF(G116=0,"",U116/G116)</f>
        <v/>
      </c>
      <c r="X116" s="7" t="n"/>
      <c r="Y116" s="7" t="n"/>
      <c r="Z116" s="7" t="n"/>
      <c r="AA116" s="13" t="n"/>
      <c r="AB116" s="13" t="n"/>
      <c r="AC116" s="14" t="n"/>
      <c r="AD116" s="14" t="n"/>
      <c r="AE116" s="13" t="n"/>
      <c r="AF116" s="15">
        <f>IF((1-K116-가정!$C$16-가정!$C$17-가정!$C$27-1/11)&lt;=0,"",IFERROR((I116+L116+M116)/(1-K116-가정!$C$16-가정!$C$17-가정!$C$27-1/11),""))</f>
        <v/>
      </c>
      <c r="AG116" s="15">
        <f>IF(OR(AA116="",AF116=""),"",AA116-AF116)</f>
        <v/>
      </c>
      <c r="AH116" s="16">
        <f>IF(G116="","",IFERROR((IF(AE116="",0,가정!$C$31*MIN(1,LOG(AE116+1)/LOG(가정!$C$30)))+IF(AB116="",0,가정!$C$32*(MAX(0,1-AB116/가정!$C$29)*0.6+AC116*0.4))+IF(AD116="",0,가정!$C$33*MAX(0,1-AD116))+IF(V116="",0,가정!$C$34*MIN(1,MAX(0,(V116-가정!$C$27)/(가정!$C$28-가정!$C$27)))))/(IF(AE116="",0,가정!$C$31)+IF(AB116="",0,가정!$C$32)+IF(AD116="",0,가정!$C$33)+IF(V116="",0,가정!$C$34))*100,""))</f>
        <v/>
      </c>
      <c r="AI116" s="17">
        <f>IF(AH116="","",IF(U116&lt;=0,"역마진",IF(AH116&gt;=가정!$C$35,"GO",IF(AH116&gt;=가정!$C$36,"검토","SKIP"))))</f>
        <v/>
      </c>
    </row>
    <row r="117">
      <c r="B117" s="6" t="n">
        <v>110</v>
      </c>
      <c r="C117" s="7" t="n"/>
      <c r="E117" s="7" t="n"/>
      <c r="F117" s="7" t="n"/>
      <c r="G117" s="8" t="n"/>
      <c r="H117" s="8" t="n">
        <v>0</v>
      </c>
      <c r="I117" s="9">
        <f>J117*가정!$C$10</f>
        <v/>
      </c>
      <c r="J117" s="10" t="n"/>
      <c r="K117" s="11">
        <f>가정!$C$14</f>
        <v/>
      </c>
      <c r="L117" s="8" t="n"/>
      <c r="M117" s="8" t="n"/>
      <c r="N117" s="9">
        <f>IF(가정!$C$25="Y",가정!$C$24,G117*가정!$C$16)</f>
        <v/>
      </c>
      <c r="P117" s="9">
        <f>(G117*K117)+(H117*가정!$C$15)</f>
        <v/>
      </c>
      <c r="Q117" s="9">
        <f>IF(가정!$C$5="간이과세",(G117+H117)*0.015,(G117+H117)/11-((L117+M117+N117+P117)/11)-IF(가정!$C$11="정식통관",I117*가정!$C$12,0))</f>
        <v/>
      </c>
      <c r="R117" s="9">
        <f>G117+H117-I117-L117-M117-N117-P117-Q117</f>
        <v/>
      </c>
      <c r="S117" s="9">
        <f>MAX(0,R117)*가정!$C$7</f>
        <v/>
      </c>
      <c r="T117" s="9">
        <f>G117*가정!$C$17</f>
        <v/>
      </c>
      <c r="U117" s="9">
        <f>R117-S117-T117</f>
        <v/>
      </c>
      <c r="V117" s="12">
        <f>IF(G117=0,"",U117/G117)</f>
        <v/>
      </c>
      <c r="X117" s="7" t="n"/>
      <c r="Y117" s="7" t="n"/>
      <c r="Z117" s="7" t="n"/>
      <c r="AA117" s="13" t="n"/>
      <c r="AB117" s="13" t="n"/>
      <c r="AC117" s="14" t="n"/>
      <c r="AD117" s="14" t="n"/>
      <c r="AE117" s="13" t="n"/>
      <c r="AF117" s="15">
        <f>IF((1-K117-가정!$C$16-가정!$C$17-가정!$C$27-1/11)&lt;=0,"",IFERROR((I117+L117+M117)/(1-K117-가정!$C$16-가정!$C$17-가정!$C$27-1/11),""))</f>
        <v/>
      </c>
      <c r="AG117" s="15">
        <f>IF(OR(AA117="",AF117=""),"",AA117-AF117)</f>
        <v/>
      </c>
      <c r="AH117" s="16">
        <f>IF(G117="","",IFERROR((IF(AE117="",0,가정!$C$31*MIN(1,LOG(AE117+1)/LOG(가정!$C$30)))+IF(AB117="",0,가정!$C$32*(MAX(0,1-AB117/가정!$C$29)*0.6+AC117*0.4))+IF(AD117="",0,가정!$C$33*MAX(0,1-AD117))+IF(V117="",0,가정!$C$34*MIN(1,MAX(0,(V117-가정!$C$27)/(가정!$C$28-가정!$C$27)))))/(IF(AE117="",0,가정!$C$31)+IF(AB117="",0,가정!$C$32)+IF(AD117="",0,가정!$C$33)+IF(V117="",0,가정!$C$34))*100,""))</f>
        <v/>
      </c>
      <c r="AI117" s="17">
        <f>IF(AH117="","",IF(U117&lt;=0,"역마진",IF(AH117&gt;=가정!$C$35,"GO",IF(AH117&gt;=가정!$C$36,"검토","SKIP"))))</f>
        <v/>
      </c>
    </row>
    <row r="118">
      <c r="B118" s="6" t="n">
        <v>111</v>
      </c>
      <c r="C118" s="7" t="n"/>
      <c r="E118" s="7" t="n"/>
      <c r="F118" s="7" t="n"/>
      <c r="G118" s="8" t="n"/>
      <c r="H118" s="8" t="n">
        <v>0</v>
      </c>
      <c r="I118" s="9">
        <f>J118*가정!$C$10</f>
        <v/>
      </c>
      <c r="J118" s="10" t="n"/>
      <c r="K118" s="11">
        <f>가정!$C$14</f>
        <v/>
      </c>
      <c r="L118" s="8" t="n"/>
      <c r="M118" s="8" t="n"/>
      <c r="N118" s="9">
        <f>IF(가정!$C$25="Y",가정!$C$24,G118*가정!$C$16)</f>
        <v/>
      </c>
      <c r="P118" s="9">
        <f>(G118*K118)+(H118*가정!$C$15)</f>
        <v/>
      </c>
      <c r="Q118" s="9">
        <f>IF(가정!$C$5="간이과세",(G118+H118)*0.015,(G118+H118)/11-((L118+M118+N118+P118)/11)-IF(가정!$C$11="정식통관",I118*가정!$C$12,0))</f>
        <v/>
      </c>
      <c r="R118" s="9">
        <f>G118+H118-I118-L118-M118-N118-P118-Q118</f>
        <v/>
      </c>
      <c r="S118" s="9">
        <f>MAX(0,R118)*가정!$C$7</f>
        <v/>
      </c>
      <c r="T118" s="9">
        <f>G118*가정!$C$17</f>
        <v/>
      </c>
      <c r="U118" s="9">
        <f>R118-S118-T118</f>
        <v/>
      </c>
      <c r="V118" s="12">
        <f>IF(G118=0,"",U118/G118)</f>
        <v/>
      </c>
      <c r="X118" s="7" t="n"/>
      <c r="Y118" s="7" t="n"/>
      <c r="Z118" s="7" t="n"/>
      <c r="AA118" s="13" t="n"/>
      <c r="AB118" s="13" t="n"/>
      <c r="AC118" s="14" t="n"/>
      <c r="AD118" s="14" t="n"/>
      <c r="AE118" s="13" t="n"/>
      <c r="AF118" s="15">
        <f>IF((1-K118-가정!$C$16-가정!$C$17-가정!$C$27-1/11)&lt;=0,"",IFERROR((I118+L118+M118)/(1-K118-가정!$C$16-가정!$C$17-가정!$C$27-1/11),""))</f>
        <v/>
      </c>
      <c r="AG118" s="15">
        <f>IF(OR(AA118="",AF118=""),"",AA118-AF118)</f>
        <v/>
      </c>
      <c r="AH118" s="16">
        <f>IF(G118="","",IFERROR((IF(AE118="",0,가정!$C$31*MIN(1,LOG(AE118+1)/LOG(가정!$C$30)))+IF(AB118="",0,가정!$C$32*(MAX(0,1-AB118/가정!$C$29)*0.6+AC118*0.4))+IF(AD118="",0,가정!$C$33*MAX(0,1-AD118))+IF(V118="",0,가정!$C$34*MIN(1,MAX(0,(V118-가정!$C$27)/(가정!$C$28-가정!$C$27)))))/(IF(AE118="",0,가정!$C$31)+IF(AB118="",0,가정!$C$32)+IF(AD118="",0,가정!$C$33)+IF(V118="",0,가정!$C$34))*100,""))</f>
        <v/>
      </c>
      <c r="AI118" s="17">
        <f>IF(AH118="","",IF(U118&lt;=0,"역마진",IF(AH118&gt;=가정!$C$35,"GO",IF(AH118&gt;=가정!$C$36,"검토","SKIP"))))</f>
        <v/>
      </c>
    </row>
    <row r="119">
      <c r="B119" s="6" t="n">
        <v>112</v>
      </c>
      <c r="C119" s="7" t="n"/>
      <c r="E119" s="7" t="n"/>
      <c r="F119" s="7" t="n"/>
      <c r="G119" s="8" t="n"/>
      <c r="H119" s="8" t="n">
        <v>0</v>
      </c>
      <c r="I119" s="9">
        <f>J119*가정!$C$10</f>
        <v/>
      </c>
      <c r="J119" s="10" t="n"/>
      <c r="K119" s="11">
        <f>가정!$C$14</f>
        <v/>
      </c>
      <c r="L119" s="8" t="n"/>
      <c r="M119" s="8" t="n"/>
      <c r="N119" s="9">
        <f>IF(가정!$C$25="Y",가정!$C$24,G119*가정!$C$16)</f>
        <v/>
      </c>
      <c r="P119" s="9">
        <f>(G119*K119)+(H119*가정!$C$15)</f>
        <v/>
      </c>
      <c r="Q119" s="9">
        <f>IF(가정!$C$5="간이과세",(G119+H119)*0.015,(G119+H119)/11-((L119+M119+N119+P119)/11)-IF(가정!$C$11="정식통관",I119*가정!$C$12,0))</f>
        <v/>
      </c>
      <c r="R119" s="9">
        <f>G119+H119-I119-L119-M119-N119-P119-Q119</f>
        <v/>
      </c>
      <c r="S119" s="9">
        <f>MAX(0,R119)*가정!$C$7</f>
        <v/>
      </c>
      <c r="T119" s="9">
        <f>G119*가정!$C$17</f>
        <v/>
      </c>
      <c r="U119" s="9">
        <f>R119-S119-T119</f>
        <v/>
      </c>
      <c r="V119" s="12">
        <f>IF(G119=0,"",U119/G119)</f>
        <v/>
      </c>
      <c r="X119" s="7" t="n"/>
      <c r="Y119" s="7" t="n"/>
      <c r="Z119" s="7" t="n"/>
      <c r="AA119" s="13" t="n"/>
      <c r="AB119" s="13" t="n"/>
      <c r="AC119" s="14" t="n"/>
      <c r="AD119" s="14" t="n"/>
      <c r="AE119" s="13" t="n"/>
      <c r="AF119" s="15">
        <f>IF((1-K119-가정!$C$16-가정!$C$17-가정!$C$27-1/11)&lt;=0,"",IFERROR((I119+L119+M119)/(1-K119-가정!$C$16-가정!$C$17-가정!$C$27-1/11),""))</f>
        <v/>
      </c>
      <c r="AG119" s="15">
        <f>IF(OR(AA119="",AF119=""),"",AA119-AF119)</f>
        <v/>
      </c>
      <c r="AH119" s="16">
        <f>IF(G119="","",IFERROR((IF(AE119="",0,가정!$C$31*MIN(1,LOG(AE119+1)/LOG(가정!$C$30)))+IF(AB119="",0,가정!$C$32*(MAX(0,1-AB119/가정!$C$29)*0.6+AC119*0.4))+IF(AD119="",0,가정!$C$33*MAX(0,1-AD119))+IF(V119="",0,가정!$C$34*MIN(1,MAX(0,(V119-가정!$C$27)/(가정!$C$28-가정!$C$27)))))/(IF(AE119="",0,가정!$C$31)+IF(AB119="",0,가정!$C$32)+IF(AD119="",0,가정!$C$33)+IF(V119="",0,가정!$C$34))*100,""))</f>
        <v/>
      </c>
      <c r="AI119" s="17">
        <f>IF(AH119="","",IF(U119&lt;=0,"역마진",IF(AH119&gt;=가정!$C$35,"GO",IF(AH119&gt;=가정!$C$36,"검토","SKIP"))))</f>
        <v/>
      </c>
    </row>
    <row r="120">
      <c r="B120" s="6" t="n">
        <v>113</v>
      </c>
      <c r="C120" s="7" t="n"/>
      <c r="E120" s="7" t="n"/>
      <c r="F120" s="7" t="n"/>
      <c r="G120" s="8" t="n"/>
      <c r="H120" s="8" t="n">
        <v>0</v>
      </c>
      <c r="I120" s="9">
        <f>J120*가정!$C$10</f>
        <v/>
      </c>
      <c r="J120" s="10" t="n"/>
      <c r="K120" s="11">
        <f>가정!$C$14</f>
        <v/>
      </c>
      <c r="L120" s="8" t="n"/>
      <c r="M120" s="8" t="n"/>
      <c r="N120" s="9">
        <f>IF(가정!$C$25="Y",가정!$C$24,G120*가정!$C$16)</f>
        <v/>
      </c>
      <c r="P120" s="9">
        <f>(G120*K120)+(H120*가정!$C$15)</f>
        <v/>
      </c>
      <c r="Q120" s="9">
        <f>IF(가정!$C$5="간이과세",(G120+H120)*0.015,(G120+H120)/11-((L120+M120+N120+P120)/11)-IF(가정!$C$11="정식통관",I120*가정!$C$12,0))</f>
        <v/>
      </c>
      <c r="R120" s="9">
        <f>G120+H120-I120-L120-M120-N120-P120-Q120</f>
        <v/>
      </c>
      <c r="S120" s="9">
        <f>MAX(0,R120)*가정!$C$7</f>
        <v/>
      </c>
      <c r="T120" s="9">
        <f>G120*가정!$C$17</f>
        <v/>
      </c>
      <c r="U120" s="9">
        <f>R120-S120-T120</f>
        <v/>
      </c>
      <c r="V120" s="12">
        <f>IF(G120=0,"",U120/G120)</f>
        <v/>
      </c>
      <c r="X120" s="7" t="n"/>
      <c r="Y120" s="7" t="n"/>
      <c r="Z120" s="7" t="n"/>
      <c r="AA120" s="13" t="n"/>
      <c r="AB120" s="13" t="n"/>
      <c r="AC120" s="14" t="n"/>
      <c r="AD120" s="14" t="n"/>
      <c r="AE120" s="13" t="n"/>
      <c r="AF120" s="15">
        <f>IF((1-K120-가정!$C$16-가정!$C$17-가정!$C$27-1/11)&lt;=0,"",IFERROR((I120+L120+M120)/(1-K120-가정!$C$16-가정!$C$17-가정!$C$27-1/11),""))</f>
        <v/>
      </c>
      <c r="AG120" s="15">
        <f>IF(OR(AA120="",AF120=""),"",AA120-AF120)</f>
        <v/>
      </c>
      <c r="AH120" s="16">
        <f>IF(G120="","",IFERROR((IF(AE120="",0,가정!$C$31*MIN(1,LOG(AE120+1)/LOG(가정!$C$30)))+IF(AB120="",0,가정!$C$32*(MAX(0,1-AB120/가정!$C$29)*0.6+AC120*0.4))+IF(AD120="",0,가정!$C$33*MAX(0,1-AD120))+IF(V120="",0,가정!$C$34*MIN(1,MAX(0,(V120-가정!$C$27)/(가정!$C$28-가정!$C$27)))))/(IF(AE120="",0,가정!$C$31)+IF(AB120="",0,가정!$C$32)+IF(AD120="",0,가정!$C$33)+IF(V120="",0,가정!$C$34))*100,""))</f>
        <v/>
      </c>
      <c r="AI120" s="17">
        <f>IF(AH120="","",IF(U120&lt;=0,"역마진",IF(AH120&gt;=가정!$C$35,"GO",IF(AH120&gt;=가정!$C$36,"검토","SKIP"))))</f>
        <v/>
      </c>
    </row>
    <row r="121">
      <c r="B121" s="6" t="n">
        <v>114</v>
      </c>
      <c r="C121" s="7" t="n"/>
      <c r="E121" s="7" t="n"/>
      <c r="F121" s="7" t="n"/>
      <c r="G121" s="8" t="n"/>
      <c r="H121" s="8" t="n">
        <v>0</v>
      </c>
      <c r="I121" s="9">
        <f>J121*가정!$C$10</f>
        <v/>
      </c>
      <c r="J121" s="10" t="n"/>
      <c r="K121" s="11">
        <f>가정!$C$14</f>
        <v/>
      </c>
      <c r="L121" s="8" t="n"/>
      <c r="M121" s="8" t="n"/>
      <c r="N121" s="9">
        <f>IF(가정!$C$25="Y",가정!$C$24,G121*가정!$C$16)</f>
        <v/>
      </c>
      <c r="P121" s="9">
        <f>(G121*K121)+(H121*가정!$C$15)</f>
        <v/>
      </c>
      <c r="Q121" s="9">
        <f>IF(가정!$C$5="간이과세",(G121+H121)*0.015,(G121+H121)/11-((L121+M121+N121+P121)/11)-IF(가정!$C$11="정식통관",I121*가정!$C$12,0))</f>
        <v/>
      </c>
      <c r="R121" s="9">
        <f>G121+H121-I121-L121-M121-N121-P121-Q121</f>
        <v/>
      </c>
      <c r="S121" s="9">
        <f>MAX(0,R121)*가정!$C$7</f>
        <v/>
      </c>
      <c r="T121" s="9">
        <f>G121*가정!$C$17</f>
        <v/>
      </c>
      <c r="U121" s="9">
        <f>R121-S121-T121</f>
        <v/>
      </c>
      <c r="V121" s="12">
        <f>IF(G121=0,"",U121/G121)</f>
        <v/>
      </c>
      <c r="X121" s="7" t="n"/>
      <c r="Y121" s="7" t="n"/>
      <c r="Z121" s="7" t="n"/>
      <c r="AA121" s="13" t="n"/>
      <c r="AB121" s="13" t="n"/>
      <c r="AC121" s="14" t="n"/>
      <c r="AD121" s="14" t="n"/>
      <c r="AE121" s="13" t="n"/>
      <c r="AF121" s="15">
        <f>IF((1-K121-가정!$C$16-가정!$C$17-가정!$C$27-1/11)&lt;=0,"",IFERROR((I121+L121+M121)/(1-K121-가정!$C$16-가정!$C$17-가정!$C$27-1/11),""))</f>
        <v/>
      </c>
      <c r="AG121" s="15">
        <f>IF(OR(AA121="",AF121=""),"",AA121-AF121)</f>
        <v/>
      </c>
      <c r="AH121" s="16">
        <f>IF(G121="","",IFERROR((IF(AE121="",0,가정!$C$31*MIN(1,LOG(AE121+1)/LOG(가정!$C$30)))+IF(AB121="",0,가정!$C$32*(MAX(0,1-AB121/가정!$C$29)*0.6+AC121*0.4))+IF(AD121="",0,가정!$C$33*MAX(0,1-AD121))+IF(V121="",0,가정!$C$34*MIN(1,MAX(0,(V121-가정!$C$27)/(가정!$C$28-가정!$C$27)))))/(IF(AE121="",0,가정!$C$31)+IF(AB121="",0,가정!$C$32)+IF(AD121="",0,가정!$C$33)+IF(V121="",0,가정!$C$34))*100,""))</f>
        <v/>
      </c>
      <c r="AI121" s="17">
        <f>IF(AH121="","",IF(U121&lt;=0,"역마진",IF(AH121&gt;=가정!$C$35,"GO",IF(AH121&gt;=가정!$C$36,"검토","SKIP"))))</f>
        <v/>
      </c>
    </row>
    <row r="122">
      <c r="B122" s="6" t="n">
        <v>115</v>
      </c>
      <c r="C122" s="7" t="n"/>
      <c r="E122" s="7" t="n"/>
      <c r="F122" s="7" t="n"/>
      <c r="G122" s="8" t="n"/>
      <c r="H122" s="8" t="n">
        <v>0</v>
      </c>
      <c r="I122" s="9">
        <f>J122*가정!$C$10</f>
        <v/>
      </c>
      <c r="J122" s="10" t="n"/>
      <c r="K122" s="11">
        <f>가정!$C$14</f>
        <v/>
      </c>
      <c r="L122" s="8" t="n"/>
      <c r="M122" s="8" t="n"/>
      <c r="N122" s="9">
        <f>IF(가정!$C$25="Y",가정!$C$24,G122*가정!$C$16)</f>
        <v/>
      </c>
      <c r="P122" s="9">
        <f>(G122*K122)+(H122*가정!$C$15)</f>
        <v/>
      </c>
      <c r="Q122" s="9">
        <f>IF(가정!$C$5="간이과세",(G122+H122)*0.015,(G122+H122)/11-((L122+M122+N122+P122)/11)-IF(가정!$C$11="정식통관",I122*가정!$C$12,0))</f>
        <v/>
      </c>
      <c r="R122" s="9">
        <f>G122+H122-I122-L122-M122-N122-P122-Q122</f>
        <v/>
      </c>
      <c r="S122" s="9">
        <f>MAX(0,R122)*가정!$C$7</f>
        <v/>
      </c>
      <c r="T122" s="9">
        <f>G122*가정!$C$17</f>
        <v/>
      </c>
      <c r="U122" s="9">
        <f>R122-S122-T122</f>
        <v/>
      </c>
      <c r="V122" s="12">
        <f>IF(G122=0,"",U122/G122)</f>
        <v/>
      </c>
      <c r="X122" s="7" t="n"/>
      <c r="Y122" s="7" t="n"/>
      <c r="Z122" s="7" t="n"/>
      <c r="AA122" s="13" t="n"/>
      <c r="AB122" s="13" t="n"/>
      <c r="AC122" s="14" t="n"/>
      <c r="AD122" s="14" t="n"/>
      <c r="AE122" s="13" t="n"/>
      <c r="AF122" s="15">
        <f>IF((1-K122-가정!$C$16-가정!$C$17-가정!$C$27-1/11)&lt;=0,"",IFERROR((I122+L122+M122)/(1-K122-가정!$C$16-가정!$C$17-가정!$C$27-1/11),""))</f>
        <v/>
      </c>
      <c r="AG122" s="15">
        <f>IF(OR(AA122="",AF122=""),"",AA122-AF122)</f>
        <v/>
      </c>
      <c r="AH122" s="16">
        <f>IF(G122="","",IFERROR((IF(AE122="",0,가정!$C$31*MIN(1,LOG(AE122+1)/LOG(가정!$C$30)))+IF(AB122="",0,가정!$C$32*(MAX(0,1-AB122/가정!$C$29)*0.6+AC122*0.4))+IF(AD122="",0,가정!$C$33*MAX(0,1-AD122))+IF(V122="",0,가정!$C$34*MIN(1,MAX(0,(V122-가정!$C$27)/(가정!$C$28-가정!$C$27)))))/(IF(AE122="",0,가정!$C$31)+IF(AB122="",0,가정!$C$32)+IF(AD122="",0,가정!$C$33)+IF(V122="",0,가정!$C$34))*100,""))</f>
        <v/>
      </c>
      <c r="AI122" s="17">
        <f>IF(AH122="","",IF(U122&lt;=0,"역마진",IF(AH122&gt;=가정!$C$35,"GO",IF(AH122&gt;=가정!$C$36,"검토","SKIP"))))</f>
        <v/>
      </c>
    </row>
    <row r="123">
      <c r="B123" s="6" t="n">
        <v>116</v>
      </c>
      <c r="C123" s="7" t="n"/>
      <c r="E123" s="7" t="n"/>
      <c r="F123" s="7" t="n"/>
      <c r="G123" s="8" t="n"/>
      <c r="H123" s="8" t="n">
        <v>0</v>
      </c>
      <c r="I123" s="9">
        <f>J123*가정!$C$10</f>
        <v/>
      </c>
      <c r="J123" s="10" t="n"/>
      <c r="K123" s="11">
        <f>가정!$C$14</f>
        <v/>
      </c>
      <c r="L123" s="8" t="n"/>
      <c r="M123" s="8" t="n"/>
      <c r="N123" s="9">
        <f>IF(가정!$C$25="Y",가정!$C$24,G123*가정!$C$16)</f>
        <v/>
      </c>
      <c r="P123" s="9">
        <f>(G123*K123)+(H123*가정!$C$15)</f>
        <v/>
      </c>
      <c r="Q123" s="9">
        <f>IF(가정!$C$5="간이과세",(G123+H123)*0.015,(G123+H123)/11-((L123+M123+N123+P123)/11)-IF(가정!$C$11="정식통관",I123*가정!$C$12,0))</f>
        <v/>
      </c>
      <c r="R123" s="9">
        <f>G123+H123-I123-L123-M123-N123-P123-Q123</f>
        <v/>
      </c>
      <c r="S123" s="9">
        <f>MAX(0,R123)*가정!$C$7</f>
        <v/>
      </c>
      <c r="T123" s="9">
        <f>G123*가정!$C$17</f>
        <v/>
      </c>
      <c r="U123" s="9">
        <f>R123-S123-T123</f>
        <v/>
      </c>
      <c r="V123" s="12">
        <f>IF(G123=0,"",U123/G123)</f>
        <v/>
      </c>
      <c r="X123" s="7" t="n"/>
      <c r="Y123" s="7" t="n"/>
      <c r="Z123" s="7" t="n"/>
      <c r="AA123" s="13" t="n"/>
      <c r="AB123" s="13" t="n"/>
      <c r="AC123" s="14" t="n"/>
      <c r="AD123" s="14" t="n"/>
      <c r="AE123" s="13" t="n"/>
      <c r="AF123" s="15">
        <f>IF((1-K123-가정!$C$16-가정!$C$17-가정!$C$27-1/11)&lt;=0,"",IFERROR((I123+L123+M123)/(1-K123-가정!$C$16-가정!$C$17-가정!$C$27-1/11),""))</f>
        <v/>
      </c>
      <c r="AG123" s="15">
        <f>IF(OR(AA123="",AF123=""),"",AA123-AF123)</f>
        <v/>
      </c>
      <c r="AH123" s="16">
        <f>IF(G123="","",IFERROR((IF(AE123="",0,가정!$C$31*MIN(1,LOG(AE123+1)/LOG(가정!$C$30)))+IF(AB123="",0,가정!$C$32*(MAX(0,1-AB123/가정!$C$29)*0.6+AC123*0.4))+IF(AD123="",0,가정!$C$33*MAX(0,1-AD123))+IF(V123="",0,가정!$C$34*MIN(1,MAX(0,(V123-가정!$C$27)/(가정!$C$28-가정!$C$27)))))/(IF(AE123="",0,가정!$C$31)+IF(AB123="",0,가정!$C$32)+IF(AD123="",0,가정!$C$33)+IF(V123="",0,가정!$C$34))*100,""))</f>
        <v/>
      </c>
      <c r="AI123" s="17">
        <f>IF(AH123="","",IF(U123&lt;=0,"역마진",IF(AH123&gt;=가정!$C$35,"GO",IF(AH123&gt;=가정!$C$36,"검토","SKIP"))))</f>
        <v/>
      </c>
    </row>
    <row r="124">
      <c r="B124" s="6" t="n">
        <v>117</v>
      </c>
      <c r="C124" s="7" t="n"/>
      <c r="E124" s="7" t="n"/>
      <c r="F124" s="7" t="n"/>
      <c r="G124" s="8" t="n"/>
      <c r="H124" s="8" t="n">
        <v>0</v>
      </c>
      <c r="I124" s="9">
        <f>J124*가정!$C$10</f>
        <v/>
      </c>
      <c r="J124" s="10" t="n"/>
      <c r="K124" s="11">
        <f>가정!$C$14</f>
        <v/>
      </c>
      <c r="L124" s="8" t="n"/>
      <c r="M124" s="8" t="n"/>
      <c r="N124" s="9">
        <f>IF(가정!$C$25="Y",가정!$C$24,G124*가정!$C$16)</f>
        <v/>
      </c>
      <c r="P124" s="9">
        <f>(G124*K124)+(H124*가정!$C$15)</f>
        <v/>
      </c>
      <c r="Q124" s="9">
        <f>IF(가정!$C$5="간이과세",(G124+H124)*0.015,(G124+H124)/11-((L124+M124+N124+P124)/11)-IF(가정!$C$11="정식통관",I124*가정!$C$12,0))</f>
        <v/>
      </c>
      <c r="R124" s="9">
        <f>G124+H124-I124-L124-M124-N124-P124-Q124</f>
        <v/>
      </c>
      <c r="S124" s="9">
        <f>MAX(0,R124)*가정!$C$7</f>
        <v/>
      </c>
      <c r="T124" s="9">
        <f>G124*가정!$C$17</f>
        <v/>
      </c>
      <c r="U124" s="9">
        <f>R124-S124-T124</f>
        <v/>
      </c>
      <c r="V124" s="12">
        <f>IF(G124=0,"",U124/G124)</f>
        <v/>
      </c>
      <c r="X124" s="7" t="n"/>
      <c r="Y124" s="7" t="n"/>
      <c r="Z124" s="7" t="n"/>
      <c r="AA124" s="13" t="n"/>
      <c r="AB124" s="13" t="n"/>
      <c r="AC124" s="14" t="n"/>
      <c r="AD124" s="14" t="n"/>
      <c r="AE124" s="13" t="n"/>
      <c r="AF124" s="15">
        <f>IF((1-K124-가정!$C$16-가정!$C$17-가정!$C$27-1/11)&lt;=0,"",IFERROR((I124+L124+M124)/(1-K124-가정!$C$16-가정!$C$17-가정!$C$27-1/11),""))</f>
        <v/>
      </c>
      <c r="AG124" s="15">
        <f>IF(OR(AA124="",AF124=""),"",AA124-AF124)</f>
        <v/>
      </c>
      <c r="AH124" s="16">
        <f>IF(G124="","",IFERROR((IF(AE124="",0,가정!$C$31*MIN(1,LOG(AE124+1)/LOG(가정!$C$30)))+IF(AB124="",0,가정!$C$32*(MAX(0,1-AB124/가정!$C$29)*0.6+AC124*0.4))+IF(AD124="",0,가정!$C$33*MAX(0,1-AD124))+IF(V124="",0,가정!$C$34*MIN(1,MAX(0,(V124-가정!$C$27)/(가정!$C$28-가정!$C$27)))))/(IF(AE124="",0,가정!$C$31)+IF(AB124="",0,가정!$C$32)+IF(AD124="",0,가정!$C$33)+IF(V124="",0,가정!$C$34))*100,""))</f>
        <v/>
      </c>
      <c r="AI124" s="17">
        <f>IF(AH124="","",IF(U124&lt;=0,"역마진",IF(AH124&gt;=가정!$C$35,"GO",IF(AH124&gt;=가정!$C$36,"검토","SKIP"))))</f>
        <v/>
      </c>
    </row>
    <row r="125">
      <c r="B125" s="6" t="n">
        <v>118</v>
      </c>
      <c r="C125" s="7" t="n"/>
      <c r="E125" s="7" t="n"/>
      <c r="F125" s="7" t="n"/>
      <c r="G125" s="8" t="n"/>
      <c r="H125" s="8" t="n">
        <v>0</v>
      </c>
      <c r="I125" s="9">
        <f>J125*가정!$C$10</f>
        <v/>
      </c>
      <c r="J125" s="10" t="n"/>
      <c r="K125" s="11">
        <f>가정!$C$14</f>
        <v/>
      </c>
      <c r="L125" s="8" t="n"/>
      <c r="M125" s="8" t="n"/>
      <c r="N125" s="9">
        <f>IF(가정!$C$25="Y",가정!$C$24,G125*가정!$C$16)</f>
        <v/>
      </c>
      <c r="P125" s="9">
        <f>(G125*K125)+(H125*가정!$C$15)</f>
        <v/>
      </c>
      <c r="Q125" s="9">
        <f>IF(가정!$C$5="간이과세",(G125+H125)*0.015,(G125+H125)/11-((L125+M125+N125+P125)/11)-IF(가정!$C$11="정식통관",I125*가정!$C$12,0))</f>
        <v/>
      </c>
      <c r="R125" s="9">
        <f>G125+H125-I125-L125-M125-N125-P125-Q125</f>
        <v/>
      </c>
      <c r="S125" s="9">
        <f>MAX(0,R125)*가정!$C$7</f>
        <v/>
      </c>
      <c r="T125" s="9">
        <f>G125*가정!$C$17</f>
        <v/>
      </c>
      <c r="U125" s="9">
        <f>R125-S125-T125</f>
        <v/>
      </c>
      <c r="V125" s="12">
        <f>IF(G125=0,"",U125/G125)</f>
        <v/>
      </c>
      <c r="X125" s="7" t="n"/>
      <c r="Y125" s="7" t="n"/>
      <c r="Z125" s="7" t="n"/>
      <c r="AA125" s="13" t="n"/>
      <c r="AB125" s="13" t="n"/>
      <c r="AC125" s="14" t="n"/>
      <c r="AD125" s="14" t="n"/>
      <c r="AE125" s="13" t="n"/>
      <c r="AF125" s="15">
        <f>IF((1-K125-가정!$C$16-가정!$C$17-가정!$C$27-1/11)&lt;=0,"",IFERROR((I125+L125+M125)/(1-K125-가정!$C$16-가정!$C$17-가정!$C$27-1/11),""))</f>
        <v/>
      </c>
      <c r="AG125" s="15">
        <f>IF(OR(AA125="",AF125=""),"",AA125-AF125)</f>
        <v/>
      </c>
      <c r="AH125" s="16">
        <f>IF(G125="","",IFERROR((IF(AE125="",0,가정!$C$31*MIN(1,LOG(AE125+1)/LOG(가정!$C$30)))+IF(AB125="",0,가정!$C$32*(MAX(0,1-AB125/가정!$C$29)*0.6+AC125*0.4))+IF(AD125="",0,가정!$C$33*MAX(0,1-AD125))+IF(V125="",0,가정!$C$34*MIN(1,MAX(0,(V125-가정!$C$27)/(가정!$C$28-가정!$C$27)))))/(IF(AE125="",0,가정!$C$31)+IF(AB125="",0,가정!$C$32)+IF(AD125="",0,가정!$C$33)+IF(V125="",0,가정!$C$34))*100,""))</f>
        <v/>
      </c>
      <c r="AI125" s="17">
        <f>IF(AH125="","",IF(U125&lt;=0,"역마진",IF(AH125&gt;=가정!$C$35,"GO",IF(AH125&gt;=가정!$C$36,"검토","SKIP"))))</f>
        <v/>
      </c>
    </row>
    <row r="126">
      <c r="B126" s="6" t="n">
        <v>119</v>
      </c>
      <c r="C126" s="7" t="n"/>
      <c r="E126" s="7" t="n"/>
      <c r="F126" s="7" t="n"/>
      <c r="G126" s="8" t="n"/>
      <c r="H126" s="8" t="n">
        <v>0</v>
      </c>
      <c r="I126" s="9">
        <f>J126*가정!$C$10</f>
        <v/>
      </c>
      <c r="J126" s="10" t="n"/>
      <c r="K126" s="11">
        <f>가정!$C$14</f>
        <v/>
      </c>
      <c r="L126" s="8" t="n"/>
      <c r="M126" s="8" t="n"/>
      <c r="N126" s="9">
        <f>IF(가정!$C$25="Y",가정!$C$24,G126*가정!$C$16)</f>
        <v/>
      </c>
      <c r="P126" s="9">
        <f>(G126*K126)+(H126*가정!$C$15)</f>
        <v/>
      </c>
      <c r="Q126" s="9">
        <f>IF(가정!$C$5="간이과세",(G126+H126)*0.015,(G126+H126)/11-((L126+M126+N126+P126)/11)-IF(가정!$C$11="정식통관",I126*가정!$C$12,0))</f>
        <v/>
      </c>
      <c r="R126" s="9">
        <f>G126+H126-I126-L126-M126-N126-P126-Q126</f>
        <v/>
      </c>
      <c r="S126" s="9">
        <f>MAX(0,R126)*가정!$C$7</f>
        <v/>
      </c>
      <c r="T126" s="9">
        <f>G126*가정!$C$17</f>
        <v/>
      </c>
      <c r="U126" s="9">
        <f>R126-S126-T126</f>
        <v/>
      </c>
      <c r="V126" s="12">
        <f>IF(G126=0,"",U126/G126)</f>
        <v/>
      </c>
      <c r="X126" s="7" t="n"/>
      <c r="Y126" s="7" t="n"/>
      <c r="Z126" s="7" t="n"/>
      <c r="AA126" s="13" t="n"/>
      <c r="AB126" s="13" t="n"/>
      <c r="AC126" s="14" t="n"/>
      <c r="AD126" s="14" t="n"/>
      <c r="AE126" s="13" t="n"/>
      <c r="AF126" s="15">
        <f>IF((1-K126-가정!$C$16-가정!$C$17-가정!$C$27-1/11)&lt;=0,"",IFERROR((I126+L126+M126)/(1-K126-가정!$C$16-가정!$C$17-가정!$C$27-1/11),""))</f>
        <v/>
      </c>
      <c r="AG126" s="15">
        <f>IF(OR(AA126="",AF126=""),"",AA126-AF126)</f>
        <v/>
      </c>
      <c r="AH126" s="16">
        <f>IF(G126="","",IFERROR((IF(AE126="",0,가정!$C$31*MIN(1,LOG(AE126+1)/LOG(가정!$C$30)))+IF(AB126="",0,가정!$C$32*(MAX(0,1-AB126/가정!$C$29)*0.6+AC126*0.4))+IF(AD126="",0,가정!$C$33*MAX(0,1-AD126))+IF(V126="",0,가정!$C$34*MIN(1,MAX(0,(V126-가정!$C$27)/(가정!$C$28-가정!$C$27)))))/(IF(AE126="",0,가정!$C$31)+IF(AB126="",0,가정!$C$32)+IF(AD126="",0,가정!$C$33)+IF(V126="",0,가정!$C$34))*100,""))</f>
        <v/>
      </c>
      <c r="AI126" s="17">
        <f>IF(AH126="","",IF(U126&lt;=0,"역마진",IF(AH126&gt;=가정!$C$35,"GO",IF(AH126&gt;=가정!$C$36,"검토","SKIP"))))</f>
        <v/>
      </c>
    </row>
    <row r="127">
      <c r="B127" s="6" t="n">
        <v>120</v>
      </c>
      <c r="C127" s="7" t="n"/>
      <c r="E127" s="7" t="n"/>
      <c r="F127" s="7" t="n"/>
      <c r="G127" s="8" t="n"/>
      <c r="H127" s="8" t="n">
        <v>0</v>
      </c>
      <c r="I127" s="9">
        <f>J127*가정!$C$10</f>
        <v/>
      </c>
      <c r="J127" s="10" t="n"/>
      <c r="K127" s="11">
        <f>가정!$C$14</f>
        <v/>
      </c>
      <c r="L127" s="8" t="n"/>
      <c r="M127" s="8" t="n"/>
      <c r="N127" s="9">
        <f>IF(가정!$C$25="Y",가정!$C$24,G127*가정!$C$16)</f>
        <v/>
      </c>
      <c r="P127" s="9">
        <f>(G127*K127)+(H127*가정!$C$15)</f>
        <v/>
      </c>
      <c r="Q127" s="9">
        <f>IF(가정!$C$5="간이과세",(G127+H127)*0.015,(G127+H127)/11-((L127+M127+N127+P127)/11)-IF(가정!$C$11="정식통관",I127*가정!$C$12,0))</f>
        <v/>
      </c>
      <c r="R127" s="9">
        <f>G127+H127-I127-L127-M127-N127-P127-Q127</f>
        <v/>
      </c>
      <c r="S127" s="9">
        <f>MAX(0,R127)*가정!$C$7</f>
        <v/>
      </c>
      <c r="T127" s="9">
        <f>G127*가정!$C$17</f>
        <v/>
      </c>
      <c r="U127" s="9">
        <f>R127-S127-T127</f>
        <v/>
      </c>
      <c r="V127" s="12">
        <f>IF(G127=0,"",U127/G127)</f>
        <v/>
      </c>
      <c r="X127" s="7" t="n"/>
      <c r="Y127" s="7" t="n"/>
      <c r="Z127" s="7" t="n"/>
      <c r="AA127" s="13" t="n"/>
      <c r="AB127" s="13" t="n"/>
      <c r="AC127" s="14" t="n"/>
      <c r="AD127" s="14" t="n"/>
      <c r="AE127" s="13" t="n"/>
      <c r="AF127" s="15">
        <f>IF((1-K127-가정!$C$16-가정!$C$17-가정!$C$27-1/11)&lt;=0,"",IFERROR((I127+L127+M127)/(1-K127-가정!$C$16-가정!$C$17-가정!$C$27-1/11),""))</f>
        <v/>
      </c>
      <c r="AG127" s="15">
        <f>IF(OR(AA127="",AF127=""),"",AA127-AF127)</f>
        <v/>
      </c>
      <c r="AH127" s="16">
        <f>IF(G127="","",IFERROR((IF(AE127="",0,가정!$C$31*MIN(1,LOG(AE127+1)/LOG(가정!$C$30)))+IF(AB127="",0,가정!$C$32*(MAX(0,1-AB127/가정!$C$29)*0.6+AC127*0.4))+IF(AD127="",0,가정!$C$33*MAX(0,1-AD127))+IF(V127="",0,가정!$C$34*MIN(1,MAX(0,(V127-가정!$C$27)/(가정!$C$28-가정!$C$27)))))/(IF(AE127="",0,가정!$C$31)+IF(AB127="",0,가정!$C$32)+IF(AD127="",0,가정!$C$33)+IF(V127="",0,가정!$C$34))*100,""))</f>
        <v/>
      </c>
      <c r="AI127" s="17">
        <f>IF(AH127="","",IF(U127&lt;=0,"역마진",IF(AH127&gt;=가정!$C$35,"GO",IF(AH127&gt;=가정!$C$36,"검토","SKIP"))))</f>
        <v/>
      </c>
    </row>
    <row r="128">
      <c r="B128" s="6" t="n">
        <v>121</v>
      </c>
      <c r="C128" s="7" t="n"/>
      <c r="E128" s="7" t="n"/>
      <c r="F128" s="7" t="n"/>
      <c r="G128" s="8" t="n"/>
      <c r="H128" s="8" t="n">
        <v>0</v>
      </c>
      <c r="I128" s="9">
        <f>J128*가정!$C$10</f>
        <v/>
      </c>
      <c r="J128" s="10" t="n"/>
      <c r="K128" s="11">
        <f>가정!$C$14</f>
        <v/>
      </c>
      <c r="L128" s="8" t="n"/>
      <c r="M128" s="8" t="n"/>
      <c r="N128" s="9">
        <f>IF(가정!$C$25="Y",가정!$C$24,G128*가정!$C$16)</f>
        <v/>
      </c>
      <c r="P128" s="9">
        <f>(G128*K128)+(H128*가정!$C$15)</f>
        <v/>
      </c>
      <c r="Q128" s="9">
        <f>IF(가정!$C$5="간이과세",(G128+H128)*0.015,(G128+H128)/11-((L128+M128+N128+P128)/11)-IF(가정!$C$11="정식통관",I128*가정!$C$12,0))</f>
        <v/>
      </c>
      <c r="R128" s="9">
        <f>G128+H128-I128-L128-M128-N128-P128-Q128</f>
        <v/>
      </c>
      <c r="S128" s="9">
        <f>MAX(0,R128)*가정!$C$7</f>
        <v/>
      </c>
      <c r="T128" s="9">
        <f>G128*가정!$C$17</f>
        <v/>
      </c>
      <c r="U128" s="9">
        <f>R128-S128-T128</f>
        <v/>
      </c>
      <c r="V128" s="12">
        <f>IF(G128=0,"",U128/G128)</f>
        <v/>
      </c>
      <c r="X128" s="7" t="n"/>
      <c r="Y128" s="7" t="n"/>
      <c r="Z128" s="7" t="n"/>
      <c r="AA128" s="13" t="n"/>
      <c r="AB128" s="13" t="n"/>
      <c r="AC128" s="14" t="n"/>
      <c r="AD128" s="14" t="n"/>
      <c r="AE128" s="13" t="n"/>
      <c r="AF128" s="15">
        <f>IF((1-K128-가정!$C$16-가정!$C$17-가정!$C$27-1/11)&lt;=0,"",IFERROR((I128+L128+M128)/(1-K128-가정!$C$16-가정!$C$17-가정!$C$27-1/11),""))</f>
        <v/>
      </c>
      <c r="AG128" s="15">
        <f>IF(OR(AA128="",AF128=""),"",AA128-AF128)</f>
        <v/>
      </c>
      <c r="AH128" s="16">
        <f>IF(G128="","",IFERROR((IF(AE128="",0,가정!$C$31*MIN(1,LOG(AE128+1)/LOG(가정!$C$30)))+IF(AB128="",0,가정!$C$32*(MAX(0,1-AB128/가정!$C$29)*0.6+AC128*0.4))+IF(AD128="",0,가정!$C$33*MAX(0,1-AD128))+IF(V128="",0,가정!$C$34*MIN(1,MAX(0,(V128-가정!$C$27)/(가정!$C$28-가정!$C$27)))))/(IF(AE128="",0,가정!$C$31)+IF(AB128="",0,가정!$C$32)+IF(AD128="",0,가정!$C$33)+IF(V128="",0,가정!$C$34))*100,""))</f>
        <v/>
      </c>
      <c r="AI128" s="17">
        <f>IF(AH128="","",IF(U128&lt;=0,"역마진",IF(AH128&gt;=가정!$C$35,"GO",IF(AH128&gt;=가정!$C$36,"검토","SKIP"))))</f>
        <v/>
      </c>
    </row>
    <row r="129">
      <c r="B129" s="6" t="n">
        <v>122</v>
      </c>
      <c r="C129" s="7" t="n"/>
      <c r="E129" s="7" t="n"/>
      <c r="F129" s="7" t="n"/>
      <c r="G129" s="8" t="n"/>
      <c r="H129" s="8" t="n">
        <v>0</v>
      </c>
      <c r="I129" s="9">
        <f>J129*가정!$C$10</f>
        <v/>
      </c>
      <c r="J129" s="10" t="n"/>
      <c r="K129" s="11">
        <f>가정!$C$14</f>
        <v/>
      </c>
      <c r="L129" s="8" t="n"/>
      <c r="M129" s="8" t="n"/>
      <c r="N129" s="9">
        <f>IF(가정!$C$25="Y",가정!$C$24,G129*가정!$C$16)</f>
        <v/>
      </c>
      <c r="P129" s="9">
        <f>(G129*K129)+(H129*가정!$C$15)</f>
        <v/>
      </c>
      <c r="Q129" s="9">
        <f>IF(가정!$C$5="간이과세",(G129+H129)*0.015,(G129+H129)/11-((L129+M129+N129+P129)/11)-IF(가정!$C$11="정식통관",I129*가정!$C$12,0))</f>
        <v/>
      </c>
      <c r="R129" s="9">
        <f>G129+H129-I129-L129-M129-N129-P129-Q129</f>
        <v/>
      </c>
      <c r="S129" s="9">
        <f>MAX(0,R129)*가정!$C$7</f>
        <v/>
      </c>
      <c r="T129" s="9">
        <f>G129*가정!$C$17</f>
        <v/>
      </c>
      <c r="U129" s="9">
        <f>R129-S129-T129</f>
        <v/>
      </c>
      <c r="V129" s="12">
        <f>IF(G129=0,"",U129/G129)</f>
        <v/>
      </c>
      <c r="X129" s="7" t="n"/>
      <c r="Y129" s="7" t="n"/>
      <c r="Z129" s="7" t="n"/>
      <c r="AA129" s="13" t="n"/>
      <c r="AB129" s="13" t="n"/>
      <c r="AC129" s="14" t="n"/>
      <c r="AD129" s="14" t="n"/>
      <c r="AE129" s="13" t="n"/>
      <c r="AF129" s="15">
        <f>IF((1-K129-가정!$C$16-가정!$C$17-가정!$C$27-1/11)&lt;=0,"",IFERROR((I129+L129+M129)/(1-K129-가정!$C$16-가정!$C$17-가정!$C$27-1/11),""))</f>
        <v/>
      </c>
      <c r="AG129" s="15">
        <f>IF(OR(AA129="",AF129=""),"",AA129-AF129)</f>
        <v/>
      </c>
      <c r="AH129" s="16">
        <f>IF(G129="","",IFERROR((IF(AE129="",0,가정!$C$31*MIN(1,LOG(AE129+1)/LOG(가정!$C$30)))+IF(AB129="",0,가정!$C$32*(MAX(0,1-AB129/가정!$C$29)*0.6+AC129*0.4))+IF(AD129="",0,가정!$C$33*MAX(0,1-AD129))+IF(V129="",0,가정!$C$34*MIN(1,MAX(0,(V129-가정!$C$27)/(가정!$C$28-가정!$C$27)))))/(IF(AE129="",0,가정!$C$31)+IF(AB129="",0,가정!$C$32)+IF(AD129="",0,가정!$C$33)+IF(V129="",0,가정!$C$34))*100,""))</f>
        <v/>
      </c>
      <c r="AI129" s="17">
        <f>IF(AH129="","",IF(U129&lt;=0,"역마진",IF(AH129&gt;=가정!$C$35,"GO",IF(AH129&gt;=가정!$C$36,"검토","SKIP"))))</f>
        <v/>
      </c>
    </row>
    <row r="130">
      <c r="B130" s="6" t="n">
        <v>123</v>
      </c>
      <c r="C130" s="7" t="n"/>
      <c r="E130" s="7" t="n"/>
      <c r="F130" s="7" t="n"/>
      <c r="G130" s="8" t="n"/>
      <c r="H130" s="8" t="n">
        <v>0</v>
      </c>
      <c r="I130" s="9">
        <f>J130*가정!$C$10</f>
        <v/>
      </c>
      <c r="J130" s="10" t="n"/>
      <c r="K130" s="11">
        <f>가정!$C$14</f>
        <v/>
      </c>
      <c r="L130" s="8" t="n"/>
      <c r="M130" s="8" t="n"/>
      <c r="N130" s="9">
        <f>IF(가정!$C$25="Y",가정!$C$24,G130*가정!$C$16)</f>
        <v/>
      </c>
      <c r="P130" s="9">
        <f>(G130*K130)+(H130*가정!$C$15)</f>
        <v/>
      </c>
      <c r="Q130" s="9">
        <f>IF(가정!$C$5="간이과세",(G130+H130)*0.015,(G130+H130)/11-((L130+M130+N130+P130)/11)-IF(가정!$C$11="정식통관",I130*가정!$C$12,0))</f>
        <v/>
      </c>
      <c r="R130" s="9">
        <f>G130+H130-I130-L130-M130-N130-P130-Q130</f>
        <v/>
      </c>
      <c r="S130" s="9">
        <f>MAX(0,R130)*가정!$C$7</f>
        <v/>
      </c>
      <c r="T130" s="9">
        <f>G130*가정!$C$17</f>
        <v/>
      </c>
      <c r="U130" s="9">
        <f>R130-S130-T130</f>
        <v/>
      </c>
      <c r="V130" s="12">
        <f>IF(G130=0,"",U130/G130)</f>
        <v/>
      </c>
      <c r="X130" s="7" t="n"/>
      <c r="Y130" s="7" t="n"/>
      <c r="Z130" s="7" t="n"/>
      <c r="AA130" s="13" t="n"/>
      <c r="AB130" s="13" t="n"/>
      <c r="AC130" s="14" t="n"/>
      <c r="AD130" s="14" t="n"/>
      <c r="AE130" s="13" t="n"/>
      <c r="AF130" s="15">
        <f>IF((1-K130-가정!$C$16-가정!$C$17-가정!$C$27-1/11)&lt;=0,"",IFERROR((I130+L130+M130)/(1-K130-가정!$C$16-가정!$C$17-가정!$C$27-1/11),""))</f>
        <v/>
      </c>
      <c r="AG130" s="15">
        <f>IF(OR(AA130="",AF130=""),"",AA130-AF130)</f>
        <v/>
      </c>
      <c r="AH130" s="16">
        <f>IF(G130="","",IFERROR((IF(AE130="",0,가정!$C$31*MIN(1,LOG(AE130+1)/LOG(가정!$C$30)))+IF(AB130="",0,가정!$C$32*(MAX(0,1-AB130/가정!$C$29)*0.6+AC130*0.4))+IF(AD130="",0,가정!$C$33*MAX(0,1-AD130))+IF(V130="",0,가정!$C$34*MIN(1,MAX(0,(V130-가정!$C$27)/(가정!$C$28-가정!$C$27)))))/(IF(AE130="",0,가정!$C$31)+IF(AB130="",0,가정!$C$32)+IF(AD130="",0,가정!$C$33)+IF(V130="",0,가정!$C$34))*100,""))</f>
        <v/>
      </c>
      <c r="AI130" s="17">
        <f>IF(AH130="","",IF(U130&lt;=0,"역마진",IF(AH130&gt;=가정!$C$35,"GO",IF(AH130&gt;=가정!$C$36,"검토","SKIP"))))</f>
        <v/>
      </c>
    </row>
    <row r="131">
      <c r="B131" s="6" t="n">
        <v>124</v>
      </c>
      <c r="C131" s="7" t="n"/>
      <c r="E131" s="7" t="n"/>
      <c r="F131" s="7" t="n"/>
      <c r="G131" s="8" t="n"/>
      <c r="H131" s="8" t="n">
        <v>0</v>
      </c>
      <c r="I131" s="9">
        <f>J131*가정!$C$10</f>
        <v/>
      </c>
      <c r="J131" s="10" t="n"/>
      <c r="K131" s="11">
        <f>가정!$C$14</f>
        <v/>
      </c>
      <c r="L131" s="8" t="n"/>
      <c r="M131" s="8" t="n"/>
      <c r="N131" s="9">
        <f>IF(가정!$C$25="Y",가정!$C$24,G131*가정!$C$16)</f>
        <v/>
      </c>
      <c r="P131" s="9">
        <f>(G131*K131)+(H131*가정!$C$15)</f>
        <v/>
      </c>
      <c r="Q131" s="9">
        <f>IF(가정!$C$5="간이과세",(G131+H131)*0.015,(G131+H131)/11-((L131+M131+N131+P131)/11)-IF(가정!$C$11="정식통관",I131*가정!$C$12,0))</f>
        <v/>
      </c>
      <c r="R131" s="9">
        <f>G131+H131-I131-L131-M131-N131-P131-Q131</f>
        <v/>
      </c>
      <c r="S131" s="9">
        <f>MAX(0,R131)*가정!$C$7</f>
        <v/>
      </c>
      <c r="T131" s="9">
        <f>G131*가정!$C$17</f>
        <v/>
      </c>
      <c r="U131" s="9">
        <f>R131-S131-T131</f>
        <v/>
      </c>
      <c r="V131" s="12">
        <f>IF(G131=0,"",U131/G131)</f>
        <v/>
      </c>
      <c r="X131" s="7" t="n"/>
      <c r="Y131" s="7" t="n"/>
      <c r="Z131" s="7" t="n"/>
      <c r="AA131" s="13" t="n"/>
      <c r="AB131" s="13" t="n"/>
      <c r="AC131" s="14" t="n"/>
      <c r="AD131" s="14" t="n"/>
      <c r="AE131" s="13" t="n"/>
      <c r="AF131" s="15">
        <f>IF((1-K131-가정!$C$16-가정!$C$17-가정!$C$27-1/11)&lt;=0,"",IFERROR((I131+L131+M131)/(1-K131-가정!$C$16-가정!$C$17-가정!$C$27-1/11),""))</f>
        <v/>
      </c>
      <c r="AG131" s="15">
        <f>IF(OR(AA131="",AF131=""),"",AA131-AF131)</f>
        <v/>
      </c>
      <c r="AH131" s="16">
        <f>IF(G131="","",IFERROR((IF(AE131="",0,가정!$C$31*MIN(1,LOG(AE131+1)/LOG(가정!$C$30)))+IF(AB131="",0,가정!$C$32*(MAX(0,1-AB131/가정!$C$29)*0.6+AC131*0.4))+IF(AD131="",0,가정!$C$33*MAX(0,1-AD131))+IF(V131="",0,가정!$C$34*MIN(1,MAX(0,(V131-가정!$C$27)/(가정!$C$28-가정!$C$27)))))/(IF(AE131="",0,가정!$C$31)+IF(AB131="",0,가정!$C$32)+IF(AD131="",0,가정!$C$33)+IF(V131="",0,가정!$C$34))*100,""))</f>
        <v/>
      </c>
      <c r="AI131" s="17">
        <f>IF(AH131="","",IF(U131&lt;=0,"역마진",IF(AH131&gt;=가정!$C$35,"GO",IF(AH131&gt;=가정!$C$36,"검토","SKIP"))))</f>
        <v/>
      </c>
    </row>
    <row r="132">
      <c r="B132" s="6" t="n">
        <v>125</v>
      </c>
      <c r="C132" s="7" t="n"/>
      <c r="E132" s="7" t="n"/>
      <c r="F132" s="7" t="n"/>
      <c r="G132" s="8" t="n"/>
      <c r="H132" s="8" t="n">
        <v>0</v>
      </c>
      <c r="I132" s="9">
        <f>J132*가정!$C$10</f>
        <v/>
      </c>
      <c r="J132" s="10" t="n"/>
      <c r="K132" s="11">
        <f>가정!$C$14</f>
        <v/>
      </c>
      <c r="L132" s="8" t="n"/>
      <c r="M132" s="8" t="n"/>
      <c r="N132" s="9">
        <f>IF(가정!$C$25="Y",가정!$C$24,G132*가정!$C$16)</f>
        <v/>
      </c>
      <c r="P132" s="9">
        <f>(G132*K132)+(H132*가정!$C$15)</f>
        <v/>
      </c>
      <c r="Q132" s="9">
        <f>IF(가정!$C$5="간이과세",(G132+H132)*0.015,(G132+H132)/11-((L132+M132+N132+P132)/11)-IF(가정!$C$11="정식통관",I132*가정!$C$12,0))</f>
        <v/>
      </c>
      <c r="R132" s="9">
        <f>G132+H132-I132-L132-M132-N132-P132-Q132</f>
        <v/>
      </c>
      <c r="S132" s="9">
        <f>MAX(0,R132)*가정!$C$7</f>
        <v/>
      </c>
      <c r="T132" s="9">
        <f>G132*가정!$C$17</f>
        <v/>
      </c>
      <c r="U132" s="9">
        <f>R132-S132-T132</f>
        <v/>
      </c>
      <c r="V132" s="12">
        <f>IF(G132=0,"",U132/G132)</f>
        <v/>
      </c>
      <c r="X132" s="7" t="n"/>
      <c r="Y132" s="7" t="n"/>
      <c r="Z132" s="7" t="n"/>
      <c r="AA132" s="13" t="n"/>
      <c r="AB132" s="13" t="n"/>
      <c r="AC132" s="14" t="n"/>
      <c r="AD132" s="14" t="n"/>
      <c r="AE132" s="13" t="n"/>
      <c r="AF132" s="15">
        <f>IF((1-K132-가정!$C$16-가정!$C$17-가정!$C$27-1/11)&lt;=0,"",IFERROR((I132+L132+M132)/(1-K132-가정!$C$16-가정!$C$17-가정!$C$27-1/11),""))</f>
        <v/>
      </c>
      <c r="AG132" s="15">
        <f>IF(OR(AA132="",AF132=""),"",AA132-AF132)</f>
        <v/>
      </c>
      <c r="AH132" s="16">
        <f>IF(G132="","",IFERROR((IF(AE132="",0,가정!$C$31*MIN(1,LOG(AE132+1)/LOG(가정!$C$30)))+IF(AB132="",0,가정!$C$32*(MAX(0,1-AB132/가정!$C$29)*0.6+AC132*0.4))+IF(AD132="",0,가정!$C$33*MAX(0,1-AD132))+IF(V132="",0,가정!$C$34*MIN(1,MAX(0,(V132-가정!$C$27)/(가정!$C$28-가정!$C$27)))))/(IF(AE132="",0,가정!$C$31)+IF(AB132="",0,가정!$C$32)+IF(AD132="",0,가정!$C$33)+IF(V132="",0,가정!$C$34))*100,""))</f>
        <v/>
      </c>
      <c r="AI132" s="17">
        <f>IF(AH132="","",IF(U132&lt;=0,"역마진",IF(AH132&gt;=가정!$C$35,"GO",IF(AH132&gt;=가정!$C$36,"검토","SKIP"))))</f>
        <v/>
      </c>
    </row>
    <row r="133">
      <c r="B133" s="6" t="n">
        <v>126</v>
      </c>
      <c r="C133" s="7" t="n"/>
      <c r="E133" s="7" t="n"/>
      <c r="F133" s="7" t="n"/>
      <c r="G133" s="8" t="n"/>
      <c r="H133" s="8" t="n">
        <v>0</v>
      </c>
      <c r="I133" s="9">
        <f>J133*가정!$C$10</f>
        <v/>
      </c>
      <c r="J133" s="10" t="n"/>
      <c r="K133" s="11">
        <f>가정!$C$14</f>
        <v/>
      </c>
      <c r="L133" s="8" t="n"/>
      <c r="M133" s="8" t="n"/>
      <c r="N133" s="9">
        <f>IF(가정!$C$25="Y",가정!$C$24,G133*가정!$C$16)</f>
        <v/>
      </c>
      <c r="P133" s="9">
        <f>(G133*K133)+(H133*가정!$C$15)</f>
        <v/>
      </c>
      <c r="Q133" s="9">
        <f>IF(가정!$C$5="간이과세",(G133+H133)*0.015,(G133+H133)/11-((L133+M133+N133+P133)/11)-IF(가정!$C$11="정식통관",I133*가정!$C$12,0))</f>
        <v/>
      </c>
      <c r="R133" s="9">
        <f>G133+H133-I133-L133-M133-N133-P133-Q133</f>
        <v/>
      </c>
      <c r="S133" s="9">
        <f>MAX(0,R133)*가정!$C$7</f>
        <v/>
      </c>
      <c r="T133" s="9">
        <f>G133*가정!$C$17</f>
        <v/>
      </c>
      <c r="U133" s="9">
        <f>R133-S133-T133</f>
        <v/>
      </c>
      <c r="V133" s="12">
        <f>IF(G133=0,"",U133/G133)</f>
        <v/>
      </c>
      <c r="X133" s="7" t="n"/>
      <c r="Y133" s="7" t="n"/>
      <c r="Z133" s="7" t="n"/>
      <c r="AA133" s="13" t="n"/>
      <c r="AB133" s="13" t="n"/>
      <c r="AC133" s="14" t="n"/>
      <c r="AD133" s="14" t="n"/>
      <c r="AE133" s="13" t="n"/>
      <c r="AF133" s="15">
        <f>IF((1-K133-가정!$C$16-가정!$C$17-가정!$C$27-1/11)&lt;=0,"",IFERROR((I133+L133+M133)/(1-K133-가정!$C$16-가정!$C$17-가정!$C$27-1/11),""))</f>
        <v/>
      </c>
      <c r="AG133" s="15">
        <f>IF(OR(AA133="",AF133=""),"",AA133-AF133)</f>
        <v/>
      </c>
      <c r="AH133" s="16">
        <f>IF(G133="","",IFERROR((IF(AE133="",0,가정!$C$31*MIN(1,LOG(AE133+1)/LOG(가정!$C$30)))+IF(AB133="",0,가정!$C$32*(MAX(0,1-AB133/가정!$C$29)*0.6+AC133*0.4))+IF(AD133="",0,가정!$C$33*MAX(0,1-AD133))+IF(V133="",0,가정!$C$34*MIN(1,MAX(0,(V133-가정!$C$27)/(가정!$C$28-가정!$C$27)))))/(IF(AE133="",0,가정!$C$31)+IF(AB133="",0,가정!$C$32)+IF(AD133="",0,가정!$C$33)+IF(V133="",0,가정!$C$34))*100,""))</f>
        <v/>
      </c>
      <c r="AI133" s="17">
        <f>IF(AH133="","",IF(U133&lt;=0,"역마진",IF(AH133&gt;=가정!$C$35,"GO",IF(AH133&gt;=가정!$C$36,"검토","SKIP"))))</f>
        <v/>
      </c>
    </row>
    <row r="134">
      <c r="B134" s="6" t="n">
        <v>127</v>
      </c>
      <c r="C134" s="7" t="n"/>
      <c r="E134" s="7" t="n"/>
      <c r="F134" s="7" t="n"/>
      <c r="G134" s="8" t="n"/>
      <c r="H134" s="8" t="n">
        <v>0</v>
      </c>
      <c r="I134" s="9">
        <f>J134*가정!$C$10</f>
        <v/>
      </c>
      <c r="J134" s="10" t="n"/>
      <c r="K134" s="11">
        <f>가정!$C$14</f>
        <v/>
      </c>
      <c r="L134" s="8" t="n"/>
      <c r="M134" s="8" t="n"/>
      <c r="N134" s="9">
        <f>IF(가정!$C$25="Y",가정!$C$24,G134*가정!$C$16)</f>
        <v/>
      </c>
      <c r="P134" s="9">
        <f>(G134*K134)+(H134*가정!$C$15)</f>
        <v/>
      </c>
      <c r="Q134" s="9">
        <f>IF(가정!$C$5="간이과세",(G134+H134)*0.015,(G134+H134)/11-((L134+M134+N134+P134)/11)-IF(가정!$C$11="정식통관",I134*가정!$C$12,0))</f>
        <v/>
      </c>
      <c r="R134" s="9">
        <f>G134+H134-I134-L134-M134-N134-P134-Q134</f>
        <v/>
      </c>
      <c r="S134" s="9">
        <f>MAX(0,R134)*가정!$C$7</f>
        <v/>
      </c>
      <c r="T134" s="9">
        <f>G134*가정!$C$17</f>
        <v/>
      </c>
      <c r="U134" s="9">
        <f>R134-S134-T134</f>
        <v/>
      </c>
      <c r="V134" s="12">
        <f>IF(G134=0,"",U134/G134)</f>
        <v/>
      </c>
      <c r="X134" s="7" t="n"/>
      <c r="Y134" s="7" t="n"/>
      <c r="Z134" s="7" t="n"/>
      <c r="AA134" s="13" t="n"/>
      <c r="AB134" s="13" t="n"/>
      <c r="AC134" s="14" t="n"/>
      <c r="AD134" s="14" t="n"/>
      <c r="AE134" s="13" t="n"/>
      <c r="AF134" s="15">
        <f>IF((1-K134-가정!$C$16-가정!$C$17-가정!$C$27-1/11)&lt;=0,"",IFERROR((I134+L134+M134)/(1-K134-가정!$C$16-가정!$C$17-가정!$C$27-1/11),""))</f>
        <v/>
      </c>
      <c r="AG134" s="15">
        <f>IF(OR(AA134="",AF134=""),"",AA134-AF134)</f>
        <v/>
      </c>
      <c r="AH134" s="16">
        <f>IF(G134="","",IFERROR((IF(AE134="",0,가정!$C$31*MIN(1,LOG(AE134+1)/LOG(가정!$C$30)))+IF(AB134="",0,가정!$C$32*(MAX(0,1-AB134/가정!$C$29)*0.6+AC134*0.4))+IF(AD134="",0,가정!$C$33*MAX(0,1-AD134))+IF(V134="",0,가정!$C$34*MIN(1,MAX(0,(V134-가정!$C$27)/(가정!$C$28-가정!$C$27)))))/(IF(AE134="",0,가정!$C$31)+IF(AB134="",0,가정!$C$32)+IF(AD134="",0,가정!$C$33)+IF(V134="",0,가정!$C$34))*100,""))</f>
        <v/>
      </c>
      <c r="AI134" s="17">
        <f>IF(AH134="","",IF(U134&lt;=0,"역마진",IF(AH134&gt;=가정!$C$35,"GO",IF(AH134&gt;=가정!$C$36,"검토","SKIP"))))</f>
        <v/>
      </c>
    </row>
    <row r="135">
      <c r="B135" s="6" t="n">
        <v>128</v>
      </c>
      <c r="C135" s="7" t="n"/>
      <c r="E135" s="7" t="n"/>
      <c r="F135" s="7" t="n"/>
      <c r="G135" s="8" t="n"/>
      <c r="H135" s="8" t="n">
        <v>0</v>
      </c>
      <c r="I135" s="9">
        <f>J135*가정!$C$10</f>
        <v/>
      </c>
      <c r="J135" s="10" t="n"/>
      <c r="K135" s="11">
        <f>가정!$C$14</f>
        <v/>
      </c>
      <c r="L135" s="8" t="n"/>
      <c r="M135" s="8" t="n"/>
      <c r="N135" s="9">
        <f>IF(가정!$C$25="Y",가정!$C$24,G135*가정!$C$16)</f>
        <v/>
      </c>
      <c r="P135" s="9">
        <f>(G135*K135)+(H135*가정!$C$15)</f>
        <v/>
      </c>
      <c r="Q135" s="9">
        <f>IF(가정!$C$5="간이과세",(G135+H135)*0.015,(G135+H135)/11-((L135+M135+N135+P135)/11)-IF(가정!$C$11="정식통관",I135*가정!$C$12,0))</f>
        <v/>
      </c>
      <c r="R135" s="9">
        <f>G135+H135-I135-L135-M135-N135-P135-Q135</f>
        <v/>
      </c>
      <c r="S135" s="9">
        <f>MAX(0,R135)*가정!$C$7</f>
        <v/>
      </c>
      <c r="T135" s="9">
        <f>G135*가정!$C$17</f>
        <v/>
      </c>
      <c r="U135" s="9">
        <f>R135-S135-T135</f>
        <v/>
      </c>
      <c r="V135" s="12">
        <f>IF(G135=0,"",U135/G135)</f>
        <v/>
      </c>
      <c r="X135" s="7" t="n"/>
      <c r="Y135" s="7" t="n"/>
      <c r="Z135" s="7" t="n"/>
      <c r="AA135" s="13" t="n"/>
      <c r="AB135" s="13" t="n"/>
      <c r="AC135" s="14" t="n"/>
      <c r="AD135" s="14" t="n"/>
      <c r="AE135" s="13" t="n"/>
      <c r="AF135" s="15">
        <f>IF((1-K135-가정!$C$16-가정!$C$17-가정!$C$27-1/11)&lt;=0,"",IFERROR((I135+L135+M135)/(1-K135-가정!$C$16-가정!$C$17-가정!$C$27-1/11),""))</f>
        <v/>
      </c>
      <c r="AG135" s="15">
        <f>IF(OR(AA135="",AF135=""),"",AA135-AF135)</f>
        <v/>
      </c>
      <c r="AH135" s="16">
        <f>IF(G135="","",IFERROR((IF(AE135="",0,가정!$C$31*MIN(1,LOG(AE135+1)/LOG(가정!$C$30)))+IF(AB135="",0,가정!$C$32*(MAX(0,1-AB135/가정!$C$29)*0.6+AC135*0.4))+IF(AD135="",0,가정!$C$33*MAX(0,1-AD135))+IF(V135="",0,가정!$C$34*MIN(1,MAX(0,(V135-가정!$C$27)/(가정!$C$28-가정!$C$27)))))/(IF(AE135="",0,가정!$C$31)+IF(AB135="",0,가정!$C$32)+IF(AD135="",0,가정!$C$33)+IF(V135="",0,가정!$C$34))*100,""))</f>
        <v/>
      </c>
      <c r="AI135" s="17">
        <f>IF(AH135="","",IF(U135&lt;=0,"역마진",IF(AH135&gt;=가정!$C$35,"GO",IF(AH135&gt;=가정!$C$36,"검토","SKIP"))))</f>
        <v/>
      </c>
    </row>
    <row r="136">
      <c r="B136" s="6" t="n">
        <v>129</v>
      </c>
      <c r="C136" s="7" t="n"/>
      <c r="E136" s="7" t="n"/>
      <c r="F136" s="7" t="n"/>
      <c r="G136" s="8" t="n"/>
      <c r="H136" s="8" t="n">
        <v>0</v>
      </c>
      <c r="I136" s="9">
        <f>J136*가정!$C$10</f>
        <v/>
      </c>
      <c r="J136" s="10" t="n"/>
      <c r="K136" s="11">
        <f>가정!$C$14</f>
        <v/>
      </c>
      <c r="L136" s="8" t="n"/>
      <c r="M136" s="8" t="n"/>
      <c r="N136" s="9">
        <f>IF(가정!$C$25="Y",가정!$C$24,G136*가정!$C$16)</f>
        <v/>
      </c>
      <c r="P136" s="9">
        <f>(G136*K136)+(H136*가정!$C$15)</f>
        <v/>
      </c>
      <c r="Q136" s="9">
        <f>IF(가정!$C$5="간이과세",(G136+H136)*0.015,(G136+H136)/11-((L136+M136+N136+P136)/11)-IF(가정!$C$11="정식통관",I136*가정!$C$12,0))</f>
        <v/>
      </c>
      <c r="R136" s="9">
        <f>G136+H136-I136-L136-M136-N136-P136-Q136</f>
        <v/>
      </c>
      <c r="S136" s="9">
        <f>MAX(0,R136)*가정!$C$7</f>
        <v/>
      </c>
      <c r="T136" s="9">
        <f>G136*가정!$C$17</f>
        <v/>
      </c>
      <c r="U136" s="9">
        <f>R136-S136-T136</f>
        <v/>
      </c>
      <c r="V136" s="12">
        <f>IF(G136=0,"",U136/G136)</f>
        <v/>
      </c>
      <c r="X136" s="7" t="n"/>
      <c r="Y136" s="7" t="n"/>
      <c r="Z136" s="7" t="n"/>
      <c r="AA136" s="13" t="n"/>
      <c r="AB136" s="13" t="n"/>
      <c r="AC136" s="14" t="n"/>
      <c r="AD136" s="14" t="n"/>
      <c r="AE136" s="13" t="n"/>
      <c r="AF136" s="15">
        <f>IF((1-K136-가정!$C$16-가정!$C$17-가정!$C$27-1/11)&lt;=0,"",IFERROR((I136+L136+M136)/(1-K136-가정!$C$16-가정!$C$17-가정!$C$27-1/11),""))</f>
        <v/>
      </c>
      <c r="AG136" s="15">
        <f>IF(OR(AA136="",AF136=""),"",AA136-AF136)</f>
        <v/>
      </c>
      <c r="AH136" s="16">
        <f>IF(G136="","",IFERROR((IF(AE136="",0,가정!$C$31*MIN(1,LOG(AE136+1)/LOG(가정!$C$30)))+IF(AB136="",0,가정!$C$32*(MAX(0,1-AB136/가정!$C$29)*0.6+AC136*0.4))+IF(AD136="",0,가정!$C$33*MAX(0,1-AD136))+IF(V136="",0,가정!$C$34*MIN(1,MAX(0,(V136-가정!$C$27)/(가정!$C$28-가정!$C$27)))))/(IF(AE136="",0,가정!$C$31)+IF(AB136="",0,가정!$C$32)+IF(AD136="",0,가정!$C$33)+IF(V136="",0,가정!$C$34))*100,""))</f>
        <v/>
      </c>
      <c r="AI136" s="17">
        <f>IF(AH136="","",IF(U136&lt;=0,"역마진",IF(AH136&gt;=가정!$C$35,"GO",IF(AH136&gt;=가정!$C$36,"검토","SKIP"))))</f>
        <v/>
      </c>
    </row>
    <row r="137">
      <c r="B137" s="6" t="n">
        <v>130</v>
      </c>
      <c r="C137" s="7" t="n"/>
      <c r="E137" s="7" t="n"/>
      <c r="F137" s="7" t="n"/>
      <c r="G137" s="8" t="n"/>
      <c r="H137" s="8" t="n">
        <v>0</v>
      </c>
      <c r="I137" s="9">
        <f>J137*가정!$C$10</f>
        <v/>
      </c>
      <c r="J137" s="10" t="n"/>
      <c r="K137" s="11">
        <f>가정!$C$14</f>
        <v/>
      </c>
      <c r="L137" s="8" t="n"/>
      <c r="M137" s="8" t="n"/>
      <c r="N137" s="9">
        <f>IF(가정!$C$25="Y",가정!$C$24,G137*가정!$C$16)</f>
        <v/>
      </c>
      <c r="P137" s="9">
        <f>(G137*K137)+(H137*가정!$C$15)</f>
        <v/>
      </c>
      <c r="Q137" s="9">
        <f>IF(가정!$C$5="간이과세",(G137+H137)*0.015,(G137+H137)/11-((L137+M137+N137+P137)/11)-IF(가정!$C$11="정식통관",I137*가정!$C$12,0))</f>
        <v/>
      </c>
      <c r="R137" s="9">
        <f>G137+H137-I137-L137-M137-N137-P137-Q137</f>
        <v/>
      </c>
      <c r="S137" s="9">
        <f>MAX(0,R137)*가정!$C$7</f>
        <v/>
      </c>
      <c r="T137" s="9">
        <f>G137*가정!$C$17</f>
        <v/>
      </c>
      <c r="U137" s="9">
        <f>R137-S137-T137</f>
        <v/>
      </c>
      <c r="V137" s="12">
        <f>IF(G137=0,"",U137/G137)</f>
        <v/>
      </c>
      <c r="X137" s="7" t="n"/>
      <c r="Y137" s="7" t="n"/>
      <c r="Z137" s="7" t="n"/>
      <c r="AA137" s="13" t="n"/>
      <c r="AB137" s="13" t="n"/>
      <c r="AC137" s="14" t="n"/>
      <c r="AD137" s="14" t="n"/>
      <c r="AE137" s="13" t="n"/>
      <c r="AF137" s="15">
        <f>IF((1-K137-가정!$C$16-가정!$C$17-가정!$C$27-1/11)&lt;=0,"",IFERROR((I137+L137+M137)/(1-K137-가정!$C$16-가정!$C$17-가정!$C$27-1/11),""))</f>
        <v/>
      </c>
      <c r="AG137" s="15">
        <f>IF(OR(AA137="",AF137=""),"",AA137-AF137)</f>
        <v/>
      </c>
      <c r="AH137" s="16">
        <f>IF(G137="","",IFERROR((IF(AE137="",0,가정!$C$31*MIN(1,LOG(AE137+1)/LOG(가정!$C$30)))+IF(AB137="",0,가정!$C$32*(MAX(0,1-AB137/가정!$C$29)*0.6+AC137*0.4))+IF(AD137="",0,가정!$C$33*MAX(0,1-AD137))+IF(V137="",0,가정!$C$34*MIN(1,MAX(0,(V137-가정!$C$27)/(가정!$C$28-가정!$C$27)))))/(IF(AE137="",0,가정!$C$31)+IF(AB137="",0,가정!$C$32)+IF(AD137="",0,가정!$C$33)+IF(V137="",0,가정!$C$34))*100,""))</f>
        <v/>
      </c>
      <c r="AI137" s="17">
        <f>IF(AH137="","",IF(U137&lt;=0,"역마진",IF(AH137&gt;=가정!$C$35,"GO",IF(AH137&gt;=가정!$C$36,"검토","SKIP"))))</f>
        <v/>
      </c>
    </row>
    <row r="138">
      <c r="B138" s="6" t="n">
        <v>131</v>
      </c>
      <c r="C138" s="7" t="n"/>
      <c r="E138" s="7" t="n"/>
      <c r="F138" s="7" t="n"/>
      <c r="G138" s="8" t="n"/>
      <c r="H138" s="8" t="n">
        <v>0</v>
      </c>
      <c r="I138" s="9">
        <f>J138*가정!$C$10</f>
        <v/>
      </c>
      <c r="J138" s="10" t="n"/>
      <c r="K138" s="11">
        <f>가정!$C$14</f>
        <v/>
      </c>
      <c r="L138" s="8" t="n"/>
      <c r="M138" s="8" t="n"/>
      <c r="N138" s="9">
        <f>IF(가정!$C$25="Y",가정!$C$24,G138*가정!$C$16)</f>
        <v/>
      </c>
      <c r="P138" s="9">
        <f>(G138*K138)+(H138*가정!$C$15)</f>
        <v/>
      </c>
      <c r="Q138" s="9">
        <f>IF(가정!$C$5="간이과세",(G138+H138)*0.015,(G138+H138)/11-((L138+M138+N138+P138)/11)-IF(가정!$C$11="정식통관",I138*가정!$C$12,0))</f>
        <v/>
      </c>
      <c r="R138" s="9">
        <f>G138+H138-I138-L138-M138-N138-P138-Q138</f>
        <v/>
      </c>
      <c r="S138" s="9">
        <f>MAX(0,R138)*가정!$C$7</f>
        <v/>
      </c>
      <c r="T138" s="9">
        <f>G138*가정!$C$17</f>
        <v/>
      </c>
      <c r="U138" s="9">
        <f>R138-S138-T138</f>
        <v/>
      </c>
      <c r="V138" s="12">
        <f>IF(G138=0,"",U138/G138)</f>
        <v/>
      </c>
      <c r="X138" s="7" t="n"/>
      <c r="Y138" s="7" t="n"/>
      <c r="Z138" s="7" t="n"/>
      <c r="AA138" s="13" t="n"/>
      <c r="AB138" s="13" t="n"/>
      <c r="AC138" s="14" t="n"/>
      <c r="AD138" s="14" t="n"/>
      <c r="AE138" s="13" t="n"/>
      <c r="AF138" s="15">
        <f>IF((1-K138-가정!$C$16-가정!$C$17-가정!$C$27-1/11)&lt;=0,"",IFERROR((I138+L138+M138)/(1-K138-가정!$C$16-가정!$C$17-가정!$C$27-1/11),""))</f>
        <v/>
      </c>
      <c r="AG138" s="15">
        <f>IF(OR(AA138="",AF138=""),"",AA138-AF138)</f>
        <v/>
      </c>
      <c r="AH138" s="16">
        <f>IF(G138="","",IFERROR((IF(AE138="",0,가정!$C$31*MIN(1,LOG(AE138+1)/LOG(가정!$C$30)))+IF(AB138="",0,가정!$C$32*(MAX(0,1-AB138/가정!$C$29)*0.6+AC138*0.4))+IF(AD138="",0,가정!$C$33*MAX(0,1-AD138))+IF(V138="",0,가정!$C$34*MIN(1,MAX(0,(V138-가정!$C$27)/(가정!$C$28-가정!$C$27)))))/(IF(AE138="",0,가정!$C$31)+IF(AB138="",0,가정!$C$32)+IF(AD138="",0,가정!$C$33)+IF(V138="",0,가정!$C$34))*100,""))</f>
        <v/>
      </c>
      <c r="AI138" s="17">
        <f>IF(AH138="","",IF(U138&lt;=0,"역마진",IF(AH138&gt;=가정!$C$35,"GO",IF(AH138&gt;=가정!$C$36,"검토","SKIP"))))</f>
        <v/>
      </c>
    </row>
    <row r="139">
      <c r="B139" s="6" t="n">
        <v>132</v>
      </c>
      <c r="C139" s="7" t="n"/>
      <c r="E139" s="7" t="n"/>
      <c r="F139" s="7" t="n"/>
      <c r="G139" s="8" t="n"/>
      <c r="H139" s="8" t="n">
        <v>0</v>
      </c>
      <c r="I139" s="9">
        <f>J139*가정!$C$10</f>
        <v/>
      </c>
      <c r="J139" s="10" t="n"/>
      <c r="K139" s="11">
        <f>가정!$C$14</f>
        <v/>
      </c>
      <c r="L139" s="8" t="n"/>
      <c r="M139" s="8" t="n"/>
      <c r="N139" s="9">
        <f>IF(가정!$C$25="Y",가정!$C$24,G139*가정!$C$16)</f>
        <v/>
      </c>
      <c r="P139" s="9">
        <f>(G139*K139)+(H139*가정!$C$15)</f>
        <v/>
      </c>
      <c r="Q139" s="9">
        <f>IF(가정!$C$5="간이과세",(G139+H139)*0.015,(G139+H139)/11-((L139+M139+N139+P139)/11)-IF(가정!$C$11="정식통관",I139*가정!$C$12,0))</f>
        <v/>
      </c>
      <c r="R139" s="9">
        <f>G139+H139-I139-L139-M139-N139-P139-Q139</f>
        <v/>
      </c>
      <c r="S139" s="9">
        <f>MAX(0,R139)*가정!$C$7</f>
        <v/>
      </c>
      <c r="T139" s="9">
        <f>G139*가정!$C$17</f>
        <v/>
      </c>
      <c r="U139" s="9">
        <f>R139-S139-T139</f>
        <v/>
      </c>
      <c r="V139" s="12">
        <f>IF(G139=0,"",U139/G139)</f>
        <v/>
      </c>
      <c r="X139" s="7" t="n"/>
      <c r="Y139" s="7" t="n"/>
      <c r="Z139" s="7" t="n"/>
      <c r="AA139" s="13" t="n"/>
      <c r="AB139" s="13" t="n"/>
      <c r="AC139" s="14" t="n"/>
      <c r="AD139" s="14" t="n"/>
      <c r="AE139" s="13" t="n"/>
      <c r="AF139" s="15">
        <f>IF((1-K139-가정!$C$16-가정!$C$17-가정!$C$27-1/11)&lt;=0,"",IFERROR((I139+L139+M139)/(1-K139-가정!$C$16-가정!$C$17-가정!$C$27-1/11),""))</f>
        <v/>
      </c>
      <c r="AG139" s="15">
        <f>IF(OR(AA139="",AF139=""),"",AA139-AF139)</f>
        <v/>
      </c>
      <c r="AH139" s="16">
        <f>IF(G139="","",IFERROR((IF(AE139="",0,가정!$C$31*MIN(1,LOG(AE139+1)/LOG(가정!$C$30)))+IF(AB139="",0,가정!$C$32*(MAX(0,1-AB139/가정!$C$29)*0.6+AC139*0.4))+IF(AD139="",0,가정!$C$33*MAX(0,1-AD139))+IF(V139="",0,가정!$C$34*MIN(1,MAX(0,(V139-가정!$C$27)/(가정!$C$28-가정!$C$27)))))/(IF(AE139="",0,가정!$C$31)+IF(AB139="",0,가정!$C$32)+IF(AD139="",0,가정!$C$33)+IF(V139="",0,가정!$C$34))*100,""))</f>
        <v/>
      </c>
      <c r="AI139" s="17">
        <f>IF(AH139="","",IF(U139&lt;=0,"역마진",IF(AH139&gt;=가정!$C$35,"GO",IF(AH139&gt;=가정!$C$36,"검토","SKIP"))))</f>
        <v/>
      </c>
    </row>
    <row r="140">
      <c r="B140" s="6" t="n">
        <v>133</v>
      </c>
      <c r="C140" s="7" t="n"/>
      <c r="E140" s="7" t="n"/>
      <c r="F140" s="7" t="n"/>
      <c r="G140" s="8" t="n"/>
      <c r="H140" s="8" t="n">
        <v>0</v>
      </c>
      <c r="I140" s="9">
        <f>J140*가정!$C$10</f>
        <v/>
      </c>
      <c r="J140" s="10" t="n"/>
      <c r="K140" s="11">
        <f>가정!$C$14</f>
        <v/>
      </c>
      <c r="L140" s="8" t="n"/>
      <c r="M140" s="8" t="n"/>
      <c r="N140" s="9">
        <f>IF(가정!$C$25="Y",가정!$C$24,G140*가정!$C$16)</f>
        <v/>
      </c>
      <c r="P140" s="9">
        <f>(G140*K140)+(H140*가정!$C$15)</f>
        <v/>
      </c>
      <c r="Q140" s="9">
        <f>IF(가정!$C$5="간이과세",(G140+H140)*0.015,(G140+H140)/11-((L140+M140+N140+P140)/11)-IF(가정!$C$11="정식통관",I140*가정!$C$12,0))</f>
        <v/>
      </c>
      <c r="R140" s="9">
        <f>G140+H140-I140-L140-M140-N140-P140-Q140</f>
        <v/>
      </c>
      <c r="S140" s="9">
        <f>MAX(0,R140)*가정!$C$7</f>
        <v/>
      </c>
      <c r="T140" s="9">
        <f>G140*가정!$C$17</f>
        <v/>
      </c>
      <c r="U140" s="9">
        <f>R140-S140-T140</f>
        <v/>
      </c>
      <c r="V140" s="12">
        <f>IF(G140=0,"",U140/G140)</f>
        <v/>
      </c>
      <c r="X140" s="7" t="n"/>
      <c r="Y140" s="7" t="n"/>
      <c r="Z140" s="7" t="n"/>
      <c r="AA140" s="13" t="n"/>
      <c r="AB140" s="13" t="n"/>
      <c r="AC140" s="14" t="n"/>
      <c r="AD140" s="14" t="n"/>
      <c r="AE140" s="13" t="n"/>
      <c r="AF140" s="15">
        <f>IF((1-K140-가정!$C$16-가정!$C$17-가정!$C$27-1/11)&lt;=0,"",IFERROR((I140+L140+M140)/(1-K140-가정!$C$16-가정!$C$17-가정!$C$27-1/11),""))</f>
        <v/>
      </c>
      <c r="AG140" s="15">
        <f>IF(OR(AA140="",AF140=""),"",AA140-AF140)</f>
        <v/>
      </c>
      <c r="AH140" s="16">
        <f>IF(G140="","",IFERROR((IF(AE140="",0,가정!$C$31*MIN(1,LOG(AE140+1)/LOG(가정!$C$30)))+IF(AB140="",0,가정!$C$32*(MAX(0,1-AB140/가정!$C$29)*0.6+AC140*0.4))+IF(AD140="",0,가정!$C$33*MAX(0,1-AD140))+IF(V140="",0,가정!$C$34*MIN(1,MAX(0,(V140-가정!$C$27)/(가정!$C$28-가정!$C$27)))))/(IF(AE140="",0,가정!$C$31)+IF(AB140="",0,가정!$C$32)+IF(AD140="",0,가정!$C$33)+IF(V140="",0,가정!$C$34))*100,""))</f>
        <v/>
      </c>
      <c r="AI140" s="17">
        <f>IF(AH140="","",IF(U140&lt;=0,"역마진",IF(AH140&gt;=가정!$C$35,"GO",IF(AH140&gt;=가정!$C$36,"검토","SKIP"))))</f>
        <v/>
      </c>
    </row>
    <row r="141">
      <c r="B141" s="6" t="n">
        <v>134</v>
      </c>
      <c r="C141" s="7" t="n"/>
      <c r="E141" s="7" t="n"/>
      <c r="F141" s="7" t="n"/>
      <c r="G141" s="8" t="n"/>
      <c r="H141" s="8" t="n">
        <v>0</v>
      </c>
      <c r="I141" s="9">
        <f>J141*가정!$C$10</f>
        <v/>
      </c>
      <c r="J141" s="10" t="n"/>
      <c r="K141" s="11">
        <f>가정!$C$14</f>
        <v/>
      </c>
      <c r="L141" s="8" t="n"/>
      <c r="M141" s="8" t="n"/>
      <c r="N141" s="9">
        <f>IF(가정!$C$25="Y",가정!$C$24,G141*가정!$C$16)</f>
        <v/>
      </c>
      <c r="P141" s="9">
        <f>(G141*K141)+(H141*가정!$C$15)</f>
        <v/>
      </c>
      <c r="Q141" s="9">
        <f>IF(가정!$C$5="간이과세",(G141+H141)*0.015,(G141+H141)/11-((L141+M141+N141+P141)/11)-IF(가정!$C$11="정식통관",I141*가정!$C$12,0))</f>
        <v/>
      </c>
      <c r="R141" s="9">
        <f>G141+H141-I141-L141-M141-N141-P141-Q141</f>
        <v/>
      </c>
      <c r="S141" s="9">
        <f>MAX(0,R141)*가정!$C$7</f>
        <v/>
      </c>
      <c r="T141" s="9">
        <f>G141*가정!$C$17</f>
        <v/>
      </c>
      <c r="U141" s="9">
        <f>R141-S141-T141</f>
        <v/>
      </c>
      <c r="V141" s="12">
        <f>IF(G141=0,"",U141/G141)</f>
        <v/>
      </c>
      <c r="X141" s="7" t="n"/>
      <c r="Y141" s="7" t="n"/>
      <c r="Z141" s="7" t="n"/>
      <c r="AA141" s="13" t="n"/>
      <c r="AB141" s="13" t="n"/>
      <c r="AC141" s="14" t="n"/>
      <c r="AD141" s="14" t="n"/>
      <c r="AE141" s="13" t="n"/>
      <c r="AF141" s="15">
        <f>IF((1-K141-가정!$C$16-가정!$C$17-가정!$C$27-1/11)&lt;=0,"",IFERROR((I141+L141+M141)/(1-K141-가정!$C$16-가정!$C$17-가정!$C$27-1/11),""))</f>
        <v/>
      </c>
      <c r="AG141" s="15">
        <f>IF(OR(AA141="",AF141=""),"",AA141-AF141)</f>
        <v/>
      </c>
      <c r="AH141" s="16">
        <f>IF(G141="","",IFERROR((IF(AE141="",0,가정!$C$31*MIN(1,LOG(AE141+1)/LOG(가정!$C$30)))+IF(AB141="",0,가정!$C$32*(MAX(0,1-AB141/가정!$C$29)*0.6+AC141*0.4))+IF(AD141="",0,가정!$C$33*MAX(0,1-AD141))+IF(V141="",0,가정!$C$34*MIN(1,MAX(0,(V141-가정!$C$27)/(가정!$C$28-가정!$C$27)))))/(IF(AE141="",0,가정!$C$31)+IF(AB141="",0,가정!$C$32)+IF(AD141="",0,가정!$C$33)+IF(V141="",0,가정!$C$34))*100,""))</f>
        <v/>
      </c>
      <c r="AI141" s="17">
        <f>IF(AH141="","",IF(U141&lt;=0,"역마진",IF(AH141&gt;=가정!$C$35,"GO",IF(AH141&gt;=가정!$C$36,"검토","SKIP"))))</f>
        <v/>
      </c>
    </row>
    <row r="142">
      <c r="B142" s="6" t="n">
        <v>135</v>
      </c>
      <c r="C142" s="7" t="n"/>
      <c r="E142" s="7" t="n"/>
      <c r="F142" s="7" t="n"/>
      <c r="G142" s="8" t="n"/>
      <c r="H142" s="8" t="n">
        <v>0</v>
      </c>
      <c r="I142" s="9">
        <f>J142*가정!$C$10</f>
        <v/>
      </c>
      <c r="J142" s="10" t="n"/>
      <c r="K142" s="11">
        <f>가정!$C$14</f>
        <v/>
      </c>
      <c r="L142" s="8" t="n"/>
      <c r="M142" s="8" t="n"/>
      <c r="N142" s="9">
        <f>IF(가정!$C$25="Y",가정!$C$24,G142*가정!$C$16)</f>
        <v/>
      </c>
      <c r="P142" s="9">
        <f>(G142*K142)+(H142*가정!$C$15)</f>
        <v/>
      </c>
      <c r="Q142" s="9">
        <f>IF(가정!$C$5="간이과세",(G142+H142)*0.015,(G142+H142)/11-((L142+M142+N142+P142)/11)-IF(가정!$C$11="정식통관",I142*가정!$C$12,0))</f>
        <v/>
      </c>
      <c r="R142" s="9">
        <f>G142+H142-I142-L142-M142-N142-P142-Q142</f>
        <v/>
      </c>
      <c r="S142" s="9">
        <f>MAX(0,R142)*가정!$C$7</f>
        <v/>
      </c>
      <c r="T142" s="9">
        <f>G142*가정!$C$17</f>
        <v/>
      </c>
      <c r="U142" s="9">
        <f>R142-S142-T142</f>
        <v/>
      </c>
      <c r="V142" s="12">
        <f>IF(G142=0,"",U142/G142)</f>
        <v/>
      </c>
      <c r="X142" s="7" t="n"/>
      <c r="Y142" s="7" t="n"/>
      <c r="Z142" s="7" t="n"/>
      <c r="AA142" s="13" t="n"/>
      <c r="AB142" s="13" t="n"/>
      <c r="AC142" s="14" t="n"/>
      <c r="AD142" s="14" t="n"/>
      <c r="AE142" s="13" t="n"/>
      <c r="AF142" s="15">
        <f>IF((1-K142-가정!$C$16-가정!$C$17-가정!$C$27-1/11)&lt;=0,"",IFERROR((I142+L142+M142)/(1-K142-가정!$C$16-가정!$C$17-가정!$C$27-1/11),""))</f>
        <v/>
      </c>
      <c r="AG142" s="15">
        <f>IF(OR(AA142="",AF142=""),"",AA142-AF142)</f>
        <v/>
      </c>
      <c r="AH142" s="16">
        <f>IF(G142="","",IFERROR((IF(AE142="",0,가정!$C$31*MIN(1,LOG(AE142+1)/LOG(가정!$C$30)))+IF(AB142="",0,가정!$C$32*(MAX(0,1-AB142/가정!$C$29)*0.6+AC142*0.4))+IF(AD142="",0,가정!$C$33*MAX(0,1-AD142))+IF(V142="",0,가정!$C$34*MIN(1,MAX(0,(V142-가정!$C$27)/(가정!$C$28-가정!$C$27)))))/(IF(AE142="",0,가정!$C$31)+IF(AB142="",0,가정!$C$32)+IF(AD142="",0,가정!$C$33)+IF(V142="",0,가정!$C$34))*100,""))</f>
        <v/>
      </c>
      <c r="AI142" s="17">
        <f>IF(AH142="","",IF(U142&lt;=0,"역마진",IF(AH142&gt;=가정!$C$35,"GO",IF(AH142&gt;=가정!$C$36,"검토","SKIP"))))</f>
        <v/>
      </c>
    </row>
    <row r="143">
      <c r="B143" s="6" t="n">
        <v>136</v>
      </c>
      <c r="C143" s="7" t="n"/>
      <c r="E143" s="7" t="n"/>
      <c r="F143" s="7" t="n"/>
      <c r="G143" s="8" t="n"/>
      <c r="H143" s="8" t="n">
        <v>0</v>
      </c>
      <c r="I143" s="9">
        <f>J143*가정!$C$10</f>
        <v/>
      </c>
      <c r="J143" s="10" t="n"/>
      <c r="K143" s="11">
        <f>가정!$C$14</f>
        <v/>
      </c>
      <c r="L143" s="8" t="n"/>
      <c r="M143" s="8" t="n"/>
      <c r="N143" s="9">
        <f>IF(가정!$C$25="Y",가정!$C$24,G143*가정!$C$16)</f>
        <v/>
      </c>
      <c r="P143" s="9">
        <f>(G143*K143)+(H143*가정!$C$15)</f>
        <v/>
      </c>
      <c r="Q143" s="9">
        <f>IF(가정!$C$5="간이과세",(G143+H143)*0.015,(G143+H143)/11-((L143+M143+N143+P143)/11)-IF(가정!$C$11="정식통관",I143*가정!$C$12,0))</f>
        <v/>
      </c>
      <c r="R143" s="9">
        <f>G143+H143-I143-L143-M143-N143-P143-Q143</f>
        <v/>
      </c>
      <c r="S143" s="9">
        <f>MAX(0,R143)*가정!$C$7</f>
        <v/>
      </c>
      <c r="T143" s="9">
        <f>G143*가정!$C$17</f>
        <v/>
      </c>
      <c r="U143" s="9">
        <f>R143-S143-T143</f>
        <v/>
      </c>
      <c r="V143" s="12">
        <f>IF(G143=0,"",U143/G143)</f>
        <v/>
      </c>
      <c r="X143" s="7" t="n"/>
      <c r="Y143" s="7" t="n"/>
      <c r="Z143" s="7" t="n"/>
      <c r="AA143" s="13" t="n"/>
      <c r="AB143" s="13" t="n"/>
      <c r="AC143" s="14" t="n"/>
      <c r="AD143" s="14" t="n"/>
      <c r="AE143" s="13" t="n"/>
      <c r="AF143" s="15">
        <f>IF((1-K143-가정!$C$16-가정!$C$17-가정!$C$27-1/11)&lt;=0,"",IFERROR((I143+L143+M143)/(1-K143-가정!$C$16-가정!$C$17-가정!$C$27-1/11),""))</f>
        <v/>
      </c>
      <c r="AG143" s="15">
        <f>IF(OR(AA143="",AF143=""),"",AA143-AF143)</f>
        <v/>
      </c>
      <c r="AH143" s="16">
        <f>IF(G143="","",IFERROR((IF(AE143="",0,가정!$C$31*MIN(1,LOG(AE143+1)/LOG(가정!$C$30)))+IF(AB143="",0,가정!$C$32*(MAX(0,1-AB143/가정!$C$29)*0.6+AC143*0.4))+IF(AD143="",0,가정!$C$33*MAX(0,1-AD143))+IF(V143="",0,가정!$C$34*MIN(1,MAX(0,(V143-가정!$C$27)/(가정!$C$28-가정!$C$27)))))/(IF(AE143="",0,가정!$C$31)+IF(AB143="",0,가정!$C$32)+IF(AD143="",0,가정!$C$33)+IF(V143="",0,가정!$C$34))*100,""))</f>
        <v/>
      </c>
      <c r="AI143" s="17">
        <f>IF(AH143="","",IF(U143&lt;=0,"역마진",IF(AH143&gt;=가정!$C$35,"GO",IF(AH143&gt;=가정!$C$36,"검토","SKIP"))))</f>
        <v/>
      </c>
    </row>
    <row r="144">
      <c r="B144" s="6" t="n">
        <v>137</v>
      </c>
      <c r="C144" s="7" t="n"/>
      <c r="E144" s="7" t="n"/>
      <c r="F144" s="7" t="n"/>
      <c r="G144" s="8" t="n"/>
      <c r="H144" s="8" t="n">
        <v>0</v>
      </c>
      <c r="I144" s="9">
        <f>J144*가정!$C$10</f>
        <v/>
      </c>
      <c r="J144" s="10" t="n"/>
      <c r="K144" s="11">
        <f>가정!$C$14</f>
        <v/>
      </c>
      <c r="L144" s="8" t="n"/>
      <c r="M144" s="8" t="n"/>
      <c r="N144" s="9">
        <f>IF(가정!$C$25="Y",가정!$C$24,G144*가정!$C$16)</f>
        <v/>
      </c>
      <c r="P144" s="9">
        <f>(G144*K144)+(H144*가정!$C$15)</f>
        <v/>
      </c>
      <c r="Q144" s="9">
        <f>IF(가정!$C$5="간이과세",(G144+H144)*0.015,(G144+H144)/11-((L144+M144+N144+P144)/11)-IF(가정!$C$11="정식통관",I144*가정!$C$12,0))</f>
        <v/>
      </c>
      <c r="R144" s="9">
        <f>G144+H144-I144-L144-M144-N144-P144-Q144</f>
        <v/>
      </c>
      <c r="S144" s="9">
        <f>MAX(0,R144)*가정!$C$7</f>
        <v/>
      </c>
      <c r="T144" s="9">
        <f>G144*가정!$C$17</f>
        <v/>
      </c>
      <c r="U144" s="9">
        <f>R144-S144-T144</f>
        <v/>
      </c>
      <c r="V144" s="12">
        <f>IF(G144=0,"",U144/G144)</f>
        <v/>
      </c>
      <c r="X144" s="7" t="n"/>
      <c r="Y144" s="7" t="n"/>
      <c r="Z144" s="7" t="n"/>
      <c r="AA144" s="13" t="n"/>
      <c r="AB144" s="13" t="n"/>
      <c r="AC144" s="14" t="n"/>
      <c r="AD144" s="14" t="n"/>
      <c r="AE144" s="13" t="n"/>
      <c r="AF144" s="15">
        <f>IF((1-K144-가정!$C$16-가정!$C$17-가정!$C$27-1/11)&lt;=0,"",IFERROR((I144+L144+M144)/(1-K144-가정!$C$16-가정!$C$17-가정!$C$27-1/11),""))</f>
        <v/>
      </c>
      <c r="AG144" s="15">
        <f>IF(OR(AA144="",AF144=""),"",AA144-AF144)</f>
        <v/>
      </c>
      <c r="AH144" s="16">
        <f>IF(G144="","",IFERROR((IF(AE144="",0,가정!$C$31*MIN(1,LOG(AE144+1)/LOG(가정!$C$30)))+IF(AB144="",0,가정!$C$32*(MAX(0,1-AB144/가정!$C$29)*0.6+AC144*0.4))+IF(AD144="",0,가정!$C$33*MAX(0,1-AD144))+IF(V144="",0,가정!$C$34*MIN(1,MAX(0,(V144-가정!$C$27)/(가정!$C$28-가정!$C$27)))))/(IF(AE144="",0,가정!$C$31)+IF(AB144="",0,가정!$C$32)+IF(AD144="",0,가정!$C$33)+IF(V144="",0,가정!$C$34))*100,""))</f>
        <v/>
      </c>
      <c r="AI144" s="17">
        <f>IF(AH144="","",IF(U144&lt;=0,"역마진",IF(AH144&gt;=가정!$C$35,"GO",IF(AH144&gt;=가정!$C$36,"검토","SKIP"))))</f>
        <v/>
      </c>
    </row>
    <row r="145">
      <c r="B145" s="6" t="n">
        <v>138</v>
      </c>
      <c r="C145" s="7" t="n"/>
      <c r="E145" s="7" t="n"/>
      <c r="F145" s="7" t="n"/>
      <c r="G145" s="8" t="n"/>
      <c r="H145" s="8" t="n">
        <v>0</v>
      </c>
      <c r="I145" s="9">
        <f>J145*가정!$C$10</f>
        <v/>
      </c>
      <c r="J145" s="10" t="n"/>
      <c r="K145" s="11">
        <f>가정!$C$14</f>
        <v/>
      </c>
      <c r="L145" s="8" t="n"/>
      <c r="M145" s="8" t="n"/>
      <c r="N145" s="9">
        <f>IF(가정!$C$25="Y",가정!$C$24,G145*가정!$C$16)</f>
        <v/>
      </c>
      <c r="P145" s="9">
        <f>(G145*K145)+(H145*가정!$C$15)</f>
        <v/>
      </c>
      <c r="Q145" s="9">
        <f>IF(가정!$C$5="간이과세",(G145+H145)*0.015,(G145+H145)/11-((L145+M145+N145+P145)/11)-IF(가정!$C$11="정식통관",I145*가정!$C$12,0))</f>
        <v/>
      </c>
      <c r="R145" s="9">
        <f>G145+H145-I145-L145-M145-N145-P145-Q145</f>
        <v/>
      </c>
      <c r="S145" s="9">
        <f>MAX(0,R145)*가정!$C$7</f>
        <v/>
      </c>
      <c r="T145" s="9">
        <f>G145*가정!$C$17</f>
        <v/>
      </c>
      <c r="U145" s="9">
        <f>R145-S145-T145</f>
        <v/>
      </c>
      <c r="V145" s="12">
        <f>IF(G145=0,"",U145/G145)</f>
        <v/>
      </c>
      <c r="X145" s="7" t="n"/>
      <c r="Y145" s="7" t="n"/>
      <c r="Z145" s="7" t="n"/>
      <c r="AA145" s="13" t="n"/>
      <c r="AB145" s="13" t="n"/>
      <c r="AC145" s="14" t="n"/>
      <c r="AD145" s="14" t="n"/>
      <c r="AE145" s="13" t="n"/>
      <c r="AF145" s="15">
        <f>IF((1-K145-가정!$C$16-가정!$C$17-가정!$C$27-1/11)&lt;=0,"",IFERROR((I145+L145+M145)/(1-K145-가정!$C$16-가정!$C$17-가정!$C$27-1/11),""))</f>
        <v/>
      </c>
      <c r="AG145" s="15">
        <f>IF(OR(AA145="",AF145=""),"",AA145-AF145)</f>
        <v/>
      </c>
      <c r="AH145" s="16">
        <f>IF(G145="","",IFERROR((IF(AE145="",0,가정!$C$31*MIN(1,LOG(AE145+1)/LOG(가정!$C$30)))+IF(AB145="",0,가정!$C$32*(MAX(0,1-AB145/가정!$C$29)*0.6+AC145*0.4))+IF(AD145="",0,가정!$C$33*MAX(0,1-AD145))+IF(V145="",0,가정!$C$34*MIN(1,MAX(0,(V145-가정!$C$27)/(가정!$C$28-가정!$C$27)))))/(IF(AE145="",0,가정!$C$31)+IF(AB145="",0,가정!$C$32)+IF(AD145="",0,가정!$C$33)+IF(V145="",0,가정!$C$34))*100,""))</f>
        <v/>
      </c>
      <c r="AI145" s="17">
        <f>IF(AH145="","",IF(U145&lt;=0,"역마진",IF(AH145&gt;=가정!$C$35,"GO",IF(AH145&gt;=가정!$C$36,"검토","SKIP"))))</f>
        <v/>
      </c>
    </row>
    <row r="146">
      <c r="B146" s="6" t="n">
        <v>139</v>
      </c>
      <c r="C146" s="7" t="n"/>
      <c r="E146" s="7" t="n"/>
      <c r="F146" s="7" t="n"/>
      <c r="G146" s="8" t="n"/>
      <c r="H146" s="8" t="n">
        <v>0</v>
      </c>
      <c r="I146" s="9">
        <f>J146*가정!$C$10</f>
        <v/>
      </c>
      <c r="J146" s="10" t="n"/>
      <c r="K146" s="11">
        <f>가정!$C$14</f>
        <v/>
      </c>
      <c r="L146" s="8" t="n"/>
      <c r="M146" s="8" t="n"/>
      <c r="N146" s="9">
        <f>IF(가정!$C$25="Y",가정!$C$24,G146*가정!$C$16)</f>
        <v/>
      </c>
      <c r="P146" s="9">
        <f>(G146*K146)+(H146*가정!$C$15)</f>
        <v/>
      </c>
      <c r="Q146" s="9">
        <f>IF(가정!$C$5="간이과세",(G146+H146)*0.015,(G146+H146)/11-((L146+M146+N146+P146)/11)-IF(가정!$C$11="정식통관",I146*가정!$C$12,0))</f>
        <v/>
      </c>
      <c r="R146" s="9">
        <f>G146+H146-I146-L146-M146-N146-P146-Q146</f>
        <v/>
      </c>
      <c r="S146" s="9">
        <f>MAX(0,R146)*가정!$C$7</f>
        <v/>
      </c>
      <c r="T146" s="9">
        <f>G146*가정!$C$17</f>
        <v/>
      </c>
      <c r="U146" s="9">
        <f>R146-S146-T146</f>
        <v/>
      </c>
      <c r="V146" s="12">
        <f>IF(G146=0,"",U146/G146)</f>
        <v/>
      </c>
      <c r="X146" s="7" t="n"/>
      <c r="Y146" s="7" t="n"/>
      <c r="Z146" s="7" t="n"/>
      <c r="AA146" s="13" t="n"/>
      <c r="AB146" s="13" t="n"/>
      <c r="AC146" s="14" t="n"/>
      <c r="AD146" s="14" t="n"/>
      <c r="AE146" s="13" t="n"/>
      <c r="AF146" s="15">
        <f>IF((1-K146-가정!$C$16-가정!$C$17-가정!$C$27-1/11)&lt;=0,"",IFERROR((I146+L146+M146)/(1-K146-가정!$C$16-가정!$C$17-가정!$C$27-1/11),""))</f>
        <v/>
      </c>
      <c r="AG146" s="15">
        <f>IF(OR(AA146="",AF146=""),"",AA146-AF146)</f>
        <v/>
      </c>
      <c r="AH146" s="16">
        <f>IF(G146="","",IFERROR((IF(AE146="",0,가정!$C$31*MIN(1,LOG(AE146+1)/LOG(가정!$C$30)))+IF(AB146="",0,가정!$C$32*(MAX(0,1-AB146/가정!$C$29)*0.6+AC146*0.4))+IF(AD146="",0,가정!$C$33*MAX(0,1-AD146))+IF(V146="",0,가정!$C$34*MIN(1,MAX(0,(V146-가정!$C$27)/(가정!$C$28-가정!$C$27)))))/(IF(AE146="",0,가정!$C$31)+IF(AB146="",0,가정!$C$32)+IF(AD146="",0,가정!$C$33)+IF(V146="",0,가정!$C$34))*100,""))</f>
        <v/>
      </c>
      <c r="AI146" s="17">
        <f>IF(AH146="","",IF(U146&lt;=0,"역마진",IF(AH146&gt;=가정!$C$35,"GO",IF(AH146&gt;=가정!$C$36,"검토","SKIP"))))</f>
        <v/>
      </c>
    </row>
    <row r="147">
      <c r="B147" s="6" t="n">
        <v>140</v>
      </c>
      <c r="C147" s="7" t="n"/>
      <c r="E147" s="7" t="n"/>
      <c r="F147" s="7" t="n"/>
      <c r="G147" s="8" t="n"/>
      <c r="H147" s="8" t="n">
        <v>0</v>
      </c>
      <c r="I147" s="9">
        <f>J147*가정!$C$10</f>
        <v/>
      </c>
      <c r="J147" s="10" t="n"/>
      <c r="K147" s="11">
        <f>가정!$C$14</f>
        <v/>
      </c>
      <c r="L147" s="8" t="n"/>
      <c r="M147" s="8" t="n"/>
      <c r="N147" s="9">
        <f>IF(가정!$C$25="Y",가정!$C$24,G147*가정!$C$16)</f>
        <v/>
      </c>
      <c r="P147" s="9">
        <f>(G147*K147)+(H147*가정!$C$15)</f>
        <v/>
      </c>
      <c r="Q147" s="9">
        <f>IF(가정!$C$5="간이과세",(G147+H147)*0.015,(G147+H147)/11-((L147+M147+N147+P147)/11)-IF(가정!$C$11="정식통관",I147*가정!$C$12,0))</f>
        <v/>
      </c>
      <c r="R147" s="9">
        <f>G147+H147-I147-L147-M147-N147-P147-Q147</f>
        <v/>
      </c>
      <c r="S147" s="9">
        <f>MAX(0,R147)*가정!$C$7</f>
        <v/>
      </c>
      <c r="T147" s="9">
        <f>G147*가정!$C$17</f>
        <v/>
      </c>
      <c r="U147" s="9">
        <f>R147-S147-T147</f>
        <v/>
      </c>
      <c r="V147" s="12">
        <f>IF(G147=0,"",U147/G147)</f>
        <v/>
      </c>
      <c r="X147" s="7" t="n"/>
      <c r="Y147" s="7" t="n"/>
      <c r="Z147" s="7" t="n"/>
      <c r="AA147" s="13" t="n"/>
      <c r="AB147" s="13" t="n"/>
      <c r="AC147" s="14" t="n"/>
      <c r="AD147" s="14" t="n"/>
      <c r="AE147" s="13" t="n"/>
      <c r="AF147" s="15">
        <f>IF((1-K147-가정!$C$16-가정!$C$17-가정!$C$27-1/11)&lt;=0,"",IFERROR((I147+L147+M147)/(1-K147-가정!$C$16-가정!$C$17-가정!$C$27-1/11),""))</f>
        <v/>
      </c>
      <c r="AG147" s="15">
        <f>IF(OR(AA147="",AF147=""),"",AA147-AF147)</f>
        <v/>
      </c>
      <c r="AH147" s="16">
        <f>IF(G147="","",IFERROR((IF(AE147="",0,가정!$C$31*MIN(1,LOG(AE147+1)/LOG(가정!$C$30)))+IF(AB147="",0,가정!$C$32*(MAX(0,1-AB147/가정!$C$29)*0.6+AC147*0.4))+IF(AD147="",0,가정!$C$33*MAX(0,1-AD147))+IF(V147="",0,가정!$C$34*MIN(1,MAX(0,(V147-가정!$C$27)/(가정!$C$28-가정!$C$27)))))/(IF(AE147="",0,가정!$C$31)+IF(AB147="",0,가정!$C$32)+IF(AD147="",0,가정!$C$33)+IF(V147="",0,가정!$C$34))*100,""))</f>
        <v/>
      </c>
      <c r="AI147" s="17">
        <f>IF(AH147="","",IF(U147&lt;=0,"역마진",IF(AH147&gt;=가정!$C$35,"GO",IF(AH147&gt;=가정!$C$36,"검토","SKIP"))))</f>
        <v/>
      </c>
    </row>
    <row r="148">
      <c r="B148" s="6" t="n">
        <v>141</v>
      </c>
      <c r="C148" s="7" t="n"/>
      <c r="E148" s="7" t="n"/>
      <c r="F148" s="7" t="n"/>
      <c r="G148" s="8" t="n"/>
      <c r="H148" s="8" t="n">
        <v>0</v>
      </c>
      <c r="I148" s="9">
        <f>J148*가정!$C$10</f>
        <v/>
      </c>
      <c r="J148" s="10" t="n"/>
      <c r="K148" s="11">
        <f>가정!$C$14</f>
        <v/>
      </c>
      <c r="L148" s="8" t="n"/>
      <c r="M148" s="8" t="n"/>
      <c r="N148" s="9">
        <f>IF(가정!$C$25="Y",가정!$C$24,G148*가정!$C$16)</f>
        <v/>
      </c>
      <c r="P148" s="9">
        <f>(G148*K148)+(H148*가정!$C$15)</f>
        <v/>
      </c>
      <c r="Q148" s="9">
        <f>IF(가정!$C$5="간이과세",(G148+H148)*0.015,(G148+H148)/11-((L148+M148+N148+P148)/11)-IF(가정!$C$11="정식통관",I148*가정!$C$12,0))</f>
        <v/>
      </c>
      <c r="R148" s="9">
        <f>G148+H148-I148-L148-M148-N148-P148-Q148</f>
        <v/>
      </c>
      <c r="S148" s="9">
        <f>MAX(0,R148)*가정!$C$7</f>
        <v/>
      </c>
      <c r="T148" s="9">
        <f>G148*가정!$C$17</f>
        <v/>
      </c>
      <c r="U148" s="9">
        <f>R148-S148-T148</f>
        <v/>
      </c>
      <c r="V148" s="12">
        <f>IF(G148=0,"",U148/G148)</f>
        <v/>
      </c>
      <c r="X148" s="7" t="n"/>
      <c r="Y148" s="7" t="n"/>
      <c r="Z148" s="7" t="n"/>
      <c r="AA148" s="13" t="n"/>
      <c r="AB148" s="13" t="n"/>
      <c r="AC148" s="14" t="n"/>
      <c r="AD148" s="14" t="n"/>
      <c r="AE148" s="13" t="n"/>
      <c r="AF148" s="15">
        <f>IF((1-K148-가정!$C$16-가정!$C$17-가정!$C$27-1/11)&lt;=0,"",IFERROR((I148+L148+M148)/(1-K148-가정!$C$16-가정!$C$17-가정!$C$27-1/11),""))</f>
        <v/>
      </c>
      <c r="AG148" s="15">
        <f>IF(OR(AA148="",AF148=""),"",AA148-AF148)</f>
        <v/>
      </c>
      <c r="AH148" s="16">
        <f>IF(G148="","",IFERROR((IF(AE148="",0,가정!$C$31*MIN(1,LOG(AE148+1)/LOG(가정!$C$30)))+IF(AB148="",0,가정!$C$32*(MAX(0,1-AB148/가정!$C$29)*0.6+AC148*0.4))+IF(AD148="",0,가정!$C$33*MAX(0,1-AD148))+IF(V148="",0,가정!$C$34*MIN(1,MAX(0,(V148-가정!$C$27)/(가정!$C$28-가정!$C$27)))))/(IF(AE148="",0,가정!$C$31)+IF(AB148="",0,가정!$C$32)+IF(AD148="",0,가정!$C$33)+IF(V148="",0,가정!$C$34))*100,""))</f>
        <v/>
      </c>
      <c r="AI148" s="17">
        <f>IF(AH148="","",IF(U148&lt;=0,"역마진",IF(AH148&gt;=가정!$C$35,"GO",IF(AH148&gt;=가정!$C$36,"검토","SKIP"))))</f>
        <v/>
      </c>
    </row>
    <row r="149">
      <c r="B149" s="6" t="n">
        <v>142</v>
      </c>
      <c r="C149" s="7" t="n"/>
      <c r="E149" s="7" t="n"/>
      <c r="F149" s="7" t="n"/>
      <c r="G149" s="8" t="n"/>
      <c r="H149" s="8" t="n">
        <v>0</v>
      </c>
      <c r="I149" s="9">
        <f>J149*가정!$C$10</f>
        <v/>
      </c>
      <c r="J149" s="10" t="n"/>
      <c r="K149" s="11">
        <f>가정!$C$14</f>
        <v/>
      </c>
      <c r="L149" s="8" t="n"/>
      <c r="M149" s="8" t="n"/>
      <c r="N149" s="9">
        <f>IF(가정!$C$25="Y",가정!$C$24,G149*가정!$C$16)</f>
        <v/>
      </c>
      <c r="P149" s="9">
        <f>(G149*K149)+(H149*가정!$C$15)</f>
        <v/>
      </c>
      <c r="Q149" s="9">
        <f>IF(가정!$C$5="간이과세",(G149+H149)*0.015,(G149+H149)/11-((L149+M149+N149+P149)/11)-IF(가정!$C$11="정식통관",I149*가정!$C$12,0))</f>
        <v/>
      </c>
      <c r="R149" s="9">
        <f>G149+H149-I149-L149-M149-N149-P149-Q149</f>
        <v/>
      </c>
      <c r="S149" s="9">
        <f>MAX(0,R149)*가정!$C$7</f>
        <v/>
      </c>
      <c r="T149" s="9">
        <f>G149*가정!$C$17</f>
        <v/>
      </c>
      <c r="U149" s="9">
        <f>R149-S149-T149</f>
        <v/>
      </c>
      <c r="V149" s="12">
        <f>IF(G149=0,"",U149/G149)</f>
        <v/>
      </c>
      <c r="X149" s="7" t="n"/>
      <c r="Y149" s="7" t="n"/>
      <c r="Z149" s="7" t="n"/>
      <c r="AA149" s="13" t="n"/>
      <c r="AB149" s="13" t="n"/>
      <c r="AC149" s="14" t="n"/>
      <c r="AD149" s="14" t="n"/>
      <c r="AE149" s="13" t="n"/>
      <c r="AF149" s="15">
        <f>IF((1-K149-가정!$C$16-가정!$C$17-가정!$C$27-1/11)&lt;=0,"",IFERROR((I149+L149+M149)/(1-K149-가정!$C$16-가정!$C$17-가정!$C$27-1/11),""))</f>
        <v/>
      </c>
      <c r="AG149" s="15">
        <f>IF(OR(AA149="",AF149=""),"",AA149-AF149)</f>
        <v/>
      </c>
      <c r="AH149" s="16">
        <f>IF(G149="","",IFERROR((IF(AE149="",0,가정!$C$31*MIN(1,LOG(AE149+1)/LOG(가정!$C$30)))+IF(AB149="",0,가정!$C$32*(MAX(0,1-AB149/가정!$C$29)*0.6+AC149*0.4))+IF(AD149="",0,가정!$C$33*MAX(0,1-AD149))+IF(V149="",0,가정!$C$34*MIN(1,MAX(0,(V149-가정!$C$27)/(가정!$C$28-가정!$C$27)))))/(IF(AE149="",0,가정!$C$31)+IF(AB149="",0,가정!$C$32)+IF(AD149="",0,가정!$C$33)+IF(V149="",0,가정!$C$34))*100,""))</f>
        <v/>
      </c>
      <c r="AI149" s="17">
        <f>IF(AH149="","",IF(U149&lt;=0,"역마진",IF(AH149&gt;=가정!$C$35,"GO",IF(AH149&gt;=가정!$C$36,"검토","SKIP"))))</f>
        <v/>
      </c>
    </row>
    <row r="150">
      <c r="B150" s="6" t="n">
        <v>143</v>
      </c>
      <c r="C150" s="7" t="n"/>
      <c r="E150" s="7" t="n"/>
      <c r="F150" s="7" t="n"/>
      <c r="G150" s="8" t="n"/>
      <c r="H150" s="8" t="n">
        <v>0</v>
      </c>
      <c r="I150" s="9">
        <f>J150*가정!$C$10</f>
        <v/>
      </c>
      <c r="J150" s="10" t="n"/>
      <c r="K150" s="11">
        <f>가정!$C$14</f>
        <v/>
      </c>
      <c r="L150" s="8" t="n"/>
      <c r="M150" s="8" t="n"/>
      <c r="N150" s="9">
        <f>IF(가정!$C$25="Y",가정!$C$24,G150*가정!$C$16)</f>
        <v/>
      </c>
      <c r="P150" s="9">
        <f>(G150*K150)+(H150*가정!$C$15)</f>
        <v/>
      </c>
      <c r="Q150" s="9">
        <f>IF(가정!$C$5="간이과세",(G150+H150)*0.015,(G150+H150)/11-((L150+M150+N150+P150)/11)-IF(가정!$C$11="정식통관",I150*가정!$C$12,0))</f>
        <v/>
      </c>
      <c r="R150" s="9">
        <f>G150+H150-I150-L150-M150-N150-P150-Q150</f>
        <v/>
      </c>
      <c r="S150" s="9">
        <f>MAX(0,R150)*가정!$C$7</f>
        <v/>
      </c>
      <c r="T150" s="9">
        <f>G150*가정!$C$17</f>
        <v/>
      </c>
      <c r="U150" s="9">
        <f>R150-S150-T150</f>
        <v/>
      </c>
      <c r="V150" s="12">
        <f>IF(G150=0,"",U150/G150)</f>
        <v/>
      </c>
      <c r="X150" s="7" t="n"/>
      <c r="Y150" s="7" t="n"/>
      <c r="Z150" s="7" t="n"/>
      <c r="AA150" s="13" t="n"/>
      <c r="AB150" s="13" t="n"/>
      <c r="AC150" s="14" t="n"/>
      <c r="AD150" s="14" t="n"/>
      <c r="AE150" s="13" t="n"/>
      <c r="AF150" s="15">
        <f>IF((1-K150-가정!$C$16-가정!$C$17-가정!$C$27-1/11)&lt;=0,"",IFERROR((I150+L150+M150)/(1-K150-가정!$C$16-가정!$C$17-가정!$C$27-1/11),""))</f>
        <v/>
      </c>
      <c r="AG150" s="15">
        <f>IF(OR(AA150="",AF150=""),"",AA150-AF150)</f>
        <v/>
      </c>
      <c r="AH150" s="16">
        <f>IF(G150="","",IFERROR((IF(AE150="",0,가정!$C$31*MIN(1,LOG(AE150+1)/LOG(가정!$C$30)))+IF(AB150="",0,가정!$C$32*(MAX(0,1-AB150/가정!$C$29)*0.6+AC150*0.4))+IF(AD150="",0,가정!$C$33*MAX(0,1-AD150))+IF(V150="",0,가정!$C$34*MIN(1,MAX(0,(V150-가정!$C$27)/(가정!$C$28-가정!$C$27)))))/(IF(AE150="",0,가정!$C$31)+IF(AB150="",0,가정!$C$32)+IF(AD150="",0,가정!$C$33)+IF(V150="",0,가정!$C$34))*100,""))</f>
        <v/>
      </c>
      <c r="AI150" s="17">
        <f>IF(AH150="","",IF(U150&lt;=0,"역마진",IF(AH150&gt;=가정!$C$35,"GO",IF(AH150&gt;=가정!$C$36,"검토","SKIP"))))</f>
        <v/>
      </c>
    </row>
    <row r="151">
      <c r="B151" s="6" t="n">
        <v>144</v>
      </c>
      <c r="C151" s="7" t="n"/>
      <c r="E151" s="7" t="n"/>
      <c r="F151" s="7" t="n"/>
      <c r="G151" s="8" t="n"/>
      <c r="H151" s="8" t="n">
        <v>0</v>
      </c>
      <c r="I151" s="9">
        <f>J151*가정!$C$10</f>
        <v/>
      </c>
      <c r="J151" s="10" t="n"/>
      <c r="K151" s="11">
        <f>가정!$C$14</f>
        <v/>
      </c>
      <c r="L151" s="8" t="n"/>
      <c r="M151" s="8" t="n"/>
      <c r="N151" s="9">
        <f>IF(가정!$C$25="Y",가정!$C$24,G151*가정!$C$16)</f>
        <v/>
      </c>
      <c r="P151" s="9">
        <f>(G151*K151)+(H151*가정!$C$15)</f>
        <v/>
      </c>
      <c r="Q151" s="9">
        <f>IF(가정!$C$5="간이과세",(G151+H151)*0.015,(G151+H151)/11-((L151+M151+N151+P151)/11)-IF(가정!$C$11="정식통관",I151*가정!$C$12,0))</f>
        <v/>
      </c>
      <c r="R151" s="9">
        <f>G151+H151-I151-L151-M151-N151-P151-Q151</f>
        <v/>
      </c>
      <c r="S151" s="9">
        <f>MAX(0,R151)*가정!$C$7</f>
        <v/>
      </c>
      <c r="T151" s="9">
        <f>G151*가정!$C$17</f>
        <v/>
      </c>
      <c r="U151" s="9">
        <f>R151-S151-T151</f>
        <v/>
      </c>
      <c r="V151" s="12">
        <f>IF(G151=0,"",U151/G151)</f>
        <v/>
      </c>
      <c r="X151" s="7" t="n"/>
      <c r="Y151" s="7" t="n"/>
      <c r="Z151" s="7" t="n"/>
      <c r="AA151" s="13" t="n"/>
      <c r="AB151" s="13" t="n"/>
      <c r="AC151" s="14" t="n"/>
      <c r="AD151" s="14" t="n"/>
      <c r="AE151" s="13" t="n"/>
      <c r="AF151" s="15">
        <f>IF((1-K151-가정!$C$16-가정!$C$17-가정!$C$27-1/11)&lt;=0,"",IFERROR((I151+L151+M151)/(1-K151-가정!$C$16-가정!$C$17-가정!$C$27-1/11),""))</f>
        <v/>
      </c>
      <c r="AG151" s="15">
        <f>IF(OR(AA151="",AF151=""),"",AA151-AF151)</f>
        <v/>
      </c>
      <c r="AH151" s="16">
        <f>IF(G151="","",IFERROR((IF(AE151="",0,가정!$C$31*MIN(1,LOG(AE151+1)/LOG(가정!$C$30)))+IF(AB151="",0,가정!$C$32*(MAX(0,1-AB151/가정!$C$29)*0.6+AC151*0.4))+IF(AD151="",0,가정!$C$33*MAX(0,1-AD151))+IF(V151="",0,가정!$C$34*MIN(1,MAX(0,(V151-가정!$C$27)/(가정!$C$28-가정!$C$27)))))/(IF(AE151="",0,가정!$C$31)+IF(AB151="",0,가정!$C$32)+IF(AD151="",0,가정!$C$33)+IF(V151="",0,가정!$C$34))*100,""))</f>
        <v/>
      </c>
      <c r="AI151" s="17">
        <f>IF(AH151="","",IF(U151&lt;=0,"역마진",IF(AH151&gt;=가정!$C$35,"GO",IF(AH151&gt;=가정!$C$36,"검토","SKIP"))))</f>
        <v/>
      </c>
    </row>
    <row r="152">
      <c r="B152" s="6" t="n">
        <v>145</v>
      </c>
      <c r="C152" s="7" t="n"/>
      <c r="E152" s="7" t="n"/>
      <c r="F152" s="7" t="n"/>
      <c r="G152" s="8" t="n"/>
      <c r="H152" s="8" t="n">
        <v>0</v>
      </c>
      <c r="I152" s="9">
        <f>J152*가정!$C$10</f>
        <v/>
      </c>
      <c r="J152" s="10" t="n"/>
      <c r="K152" s="11">
        <f>가정!$C$14</f>
        <v/>
      </c>
      <c r="L152" s="8" t="n"/>
      <c r="M152" s="8" t="n"/>
      <c r="N152" s="9">
        <f>IF(가정!$C$25="Y",가정!$C$24,G152*가정!$C$16)</f>
        <v/>
      </c>
      <c r="P152" s="9">
        <f>(G152*K152)+(H152*가정!$C$15)</f>
        <v/>
      </c>
      <c r="Q152" s="9">
        <f>IF(가정!$C$5="간이과세",(G152+H152)*0.015,(G152+H152)/11-((L152+M152+N152+P152)/11)-IF(가정!$C$11="정식통관",I152*가정!$C$12,0))</f>
        <v/>
      </c>
      <c r="R152" s="9">
        <f>G152+H152-I152-L152-M152-N152-P152-Q152</f>
        <v/>
      </c>
      <c r="S152" s="9">
        <f>MAX(0,R152)*가정!$C$7</f>
        <v/>
      </c>
      <c r="T152" s="9">
        <f>G152*가정!$C$17</f>
        <v/>
      </c>
      <c r="U152" s="9">
        <f>R152-S152-T152</f>
        <v/>
      </c>
      <c r="V152" s="12">
        <f>IF(G152=0,"",U152/G152)</f>
        <v/>
      </c>
      <c r="X152" s="7" t="n"/>
      <c r="Y152" s="7" t="n"/>
      <c r="Z152" s="7" t="n"/>
      <c r="AA152" s="13" t="n"/>
      <c r="AB152" s="13" t="n"/>
      <c r="AC152" s="14" t="n"/>
      <c r="AD152" s="14" t="n"/>
      <c r="AE152" s="13" t="n"/>
      <c r="AF152" s="15">
        <f>IF((1-K152-가정!$C$16-가정!$C$17-가정!$C$27-1/11)&lt;=0,"",IFERROR((I152+L152+M152)/(1-K152-가정!$C$16-가정!$C$17-가정!$C$27-1/11),""))</f>
        <v/>
      </c>
      <c r="AG152" s="15">
        <f>IF(OR(AA152="",AF152=""),"",AA152-AF152)</f>
        <v/>
      </c>
      <c r="AH152" s="16">
        <f>IF(G152="","",IFERROR((IF(AE152="",0,가정!$C$31*MIN(1,LOG(AE152+1)/LOG(가정!$C$30)))+IF(AB152="",0,가정!$C$32*(MAX(0,1-AB152/가정!$C$29)*0.6+AC152*0.4))+IF(AD152="",0,가정!$C$33*MAX(0,1-AD152))+IF(V152="",0,가정!$C$34*MIN(1,MAX(0,(V152-가정!$C$27)/(가정!$C$28-가정!$C$27)))))/(IF(AE152="",0,가정!$C$31)+IF(AB152="",0,가정!$C$32)+IF(AD152="",0,가정!$C$33)+IF(V152="",0,가정!$C$34))*100,""))</f>
        <v/>
      </c>
      <c r="AI152" s="17">
        <f>IF(AH152="","",IF(U152&lt;=0,"역마진",IF(AH152&gt;=가정!$C$35,"GO",IF(AH152&gt;=가정!$C$36,"검토","SKIP"))))</f>
        <v/>
      </c>
    </row>
    <row r="153">
      <c r="B153" s="6" t="n">
        <v>146</v>
      </c>
      <c r="C153" s="7" t="n"/>
      <c r="E153" s="7" t="n"/>
      <c r="F153" s="7" t="n"/>
      <c r="G153" s="8" t="n"/>
      <c r="H153" s="8" t="n">
        <v>0</v>
      </c>
      <c r="I153" s="9">
        <f>J153*가정!$C$10</f>
        <v/>
      </c>
      <c r="J153" s="10" t="n"/>
      <c r="K153" s="11">
        <f>가정!$C$14</f>
        <v/>
      </c>
      <c r="L153" s="8" t="n"/>
      <c r="M153" s="8" t="n"/>
      <c r="N153" s="9">
        <f>IF(가정!$C$25="Y",가정!$C$24,G153*가정!$C$16)</f>
        <v/>
      </c>
      <c r="P153" s="9">
        <f>(G153*K153)+(H153*가정!$C$15)</f>
        <v/>
      </c>
      <c r="Q153" s="9">
        <f>IF(가정!$C$5="간이과세",(G153+H153)*0.015,(G153+H153)/11-((L153+M153+N153+P153)/11)-IF(가정!$C$11="정식통관",I153*가정!$C$12,0))</f>
        <v/>
      </c>
      <c r="R153" s="9">
        <f>G153+H153-I153-L153-M153-N153-P153-Q153</f>
        <v/>
      </c>
      <c r="S153" s="9">
        <f>MAX(0,R153)*가정!$C$7</f>
        <v/>
      </c>
      <c r="T153" s="9">
        <f>G153*가정!$C$17</f>
        <v/>
      </c>
      <c r="U153" s="9">
        <f>R153-S153-T153</f>
        <v/>
      </c>
      <c r="V153" s="12">
        <f>IF(G153=0,"",U153/G153)</f>
        <v/>
      </c>
      <c r="X153" s="7" t="n"/>
      <c r="Y153" s="7" t="n"/>
      <c r="Z153" s="7" t="n"/>
      <c r="AA153" s="13" t="n"/>
      <c r="AB153" s="13" t="n"/>
      <c r="AC153" s="14" t="n"/>
      <c r="AD153" s="14" t="n"/>
      <c r="AE153" s="13" t="n"/>
      <c r="AF153" s="15">
        <f>IF((1-K153-가정!$C$16-가정!$C$17-가정!$C$27-1/11)&lt;=0,"",IFERROR((I153+L153+M153)/(1-K153-가정!$C$16-가정!$C$17-가정!$C$27-1/11),""))</f>
        <v/>
      </c>
      <c r="AG153" s="15">
        <f>IF(OR(AA153="",AF153=""),"",AA153-AF153)</f>
        <v/>
      </c>
      <c r="AH153" s="16">
        <f>IF(G153="","",IFERROR((IF(AE153="",0,가정!$C$31*MIN(1,LOG(AE153+1)/LOG(가정!$C$30)))+IF(AB153="",0,가정!$C$32*(MAX(0,1-AB153/가정!$C$29)*0.6+AC153*0.4))+IF(AD153="",0,가정!$C$33*MAX(0,1-AD153))+IF(V153="",0,가정!$C$34*MIN(1,MAX(0,(V153-가정!$C$27)/(가정!$C$28-가정!$C$27)))))/(IF(AE153="",0,가정!$C$31)+IF(AB153="",0,가정!$C$32)+IF(AD153="",0,가정!$C$33)+IF(V153="",0,가정!$C$34))*100,""))</f>
        <v/>
      </c>
      <c r="AI153" s="17">
        <f>IF(AH153="","",IF(U153&lt;=0,"역마진",IF(AH153&gt;=가정!$C$35,"GO",IF(AH153&gt;=가정!$C$36,"검토","SKIP"))))</f>
        <v/>
      </c>
    </row>
    <row r="154">
      <c r="B154" s="6" t="n">
        <v>147</v>
      </c>
      <c r="C154" s="7" t="n"/>
      <c r="E154" s="7" t="n"/>
      <c r="F154" s="7" t="n"/>
      <c r="G154" s="8" t="n"/>
      <c r="H154" s="8" t="n">
        <v>0</v>
      </c>
      <c r="I154" s="9">
        <f>J154*가정!$C$10</f>
        <v/>
      </c>
      <c r="J154" s="10" t="n"/>
      <c r="K154" s="11">
        <f>가정!$C$14</f>
        <v/>
      </c>
      <c r="L154" s="8" t="n"/>
      <c r="M154" s="8" t="n"/>
      <c r="N154" s="9">
        <f>IF(가정!$C$25="Y",가정!$C$24,G154*가정!$C$16)</f>
        <v/>
      </c>
      <c r="P154" s="9">
        <f>(G154*K154)+(H154*가정!$C$15)</f>
        <v/>
      </c>
      <c r="Q154" s="9">
        <f>IF(가정!$C$5="간이과세",(G154+H154)*0.015,(G154+H154)/11-((L154+M154+N154+P154)/11)-IF(가정!$C$11="정식통관",I154*가정!$C$12,0))</f>
        <v/>
      </c>
      <c r="R154" s="9">
        <f>G154+H154-I154-L154-M154-N154-P154-Q154</f>
        <v/>
      </c>
      <c r="S154" s="9">
        <f>MAX(0,R154)*가정!$C$7</f>
        <v/>
      </c>
      <c r="T154" s="9">
        <f>G154*가정!$C$17</f>
        <v/>
      </c>
      <c r="U154" s="9">
        <f>R154-S154-T154</f>
        <v/>
      </c>
      <c r="V154" s="12">
        <f>IF(G154=0,"",U154/G154)</f>
        <v/>
      </c>
      <c r="X154" s="7" t="n"/>
      <c r="Y154" s="7" t="n"/>
      <c r="Z154" s="7" t="n"/>
      <c r="AA154" s="13" t="n"/>
      <c r="AB154" s="13" t="n"/>
      <c r="AC154" s="14" t="n"/>
      <c r="AD154" s="14" t="n"/>
      <c r="AE154" s="13" t="n"/>
      <c r="AF154" s="15">
        <f>IF((1-K154-가정!$C$16-가정!$C$17-가정!$C$27-1/11)&lt;=0,"",IFERROR((I154+L154+M154)/(1-K154-가정!$C$16-가정!$C$17-가정!$C$27-1/11),""))</f>
        <v/>
      </c>
      <c r="AG154" s="15">
        <f>IF(OR(AA154="",AF154=""),"",AA154-AF154)</f>
        <v/>
      </c>
      <c r="AH154" s="16">
        <f>IF(G154="","",IFERROR((IF(AE154="",0,가정!$C$31*MIN(1,LOG(AE154+1)/LOG(가정!$C$30)))+IF(AB154="",0,가정!$C$32*(MAX(0,1-AB154/가정!$C$29)*0.6+AC154*0.4))+IF(AD154="",0,가정!$C$33*MAX(0,1-AD154))+IF(V154="",0,가정!$C$34*MIN(1,MAX(0,(V154-가정!$C$27)/(가정!$C$28-가정!$C$27)))))/(IF(AE154="",0,가정!$C$31)+IF(AB154="",0,가정!$C$32)+IF(AD154="",0,가정!$C$33)+IF(V154="",0,가정!$C$34))*100,""))</f>
        <v/>
      </c>
      <c r="AI154" s="17">
        <f>IF(AH154="","",IF(U154&lt;=0,"역마진",IF(AH154&gt;=가정!$C$35,"GO",IF(AH154&gt;=가정!$C$36,"검토","SKIP"))))</f>
        <v/>
      </c>
    </row>
    <row r="155">
      <c r="B155" s="6" t="n">
        <v>148</v>
      </c>
      <c r="C155" s="7" t="n"/>
      <c r="E155" s="7" t="n"/>
      <c r="F155" s="7" t="n"/>
      <c r="G155" s="8" t="n"/>
      <c r="H155" s="8" t="n">
        <v>0</v>
      </c>
      <c r="I155" s="9">
        <f>J155*가정!$C$10</f>
        <v/>
      </c>
      <c r="J155" s="10" t="n"/>
      <c r="K155" s="11">
        <f>가정!$C$14</f>
        <v/>
      </c>
      <c r="L155" s="8" t="n"/>
      <c r="M155" s="8" t="n"/>
      <c r="N155" s="9">
        <f>IF(가정!$C$25="Y",가정!$C$24,G155*가정!$C$16)</f>
        <v/>
      </c>
      <c r="P155" s="9">
        <f>(G155*K155)+(H155*가정!$C$15)</f>
        <v/>
      </c>
      <c r="Q155" s="9">
        <f>IF(가정!$C$5="간이과세",(G155+H155)*0.015,(G155+H155)/11-((L155+M155+N155+P155)/11)-IF(가정!$C$11="정식통관",I155*가정!$C$12,0))</f>
        <v/>
      </c>
      <c r="R155" s="9">
        <f>G155+H155-I155-L155-M155-N155-P155-Q155</f>
        <v/>
      </c>
      <c r="S155" s="9">
        <f>MAX(0,R155)*가정!$C$7</f>
        <v/>
      </c>
      <c r="T155" s="9">
        <f>G155*가정!$C$17</f>
        <v/>
      </c>
      <c r="U155" s="9">
        <f>R155-S155-T155</f>
        <v/>
      </c>
      <c r="V155" s="12">
        <f>IF(G155=0,"",U155/G155)</f>
        <v/>
      </c>
      <c r="X155" s="7" t="n"/>
      <c r="Y155" s="7" t="n"/>
      <c r="Z155" s="7" t="n"/>
      <c r="AA155" s="13" t="n"/>
      <c r="AB155" s="13" t="n"/>
      <c r="AC155" s="14" t="n"/>
      <c r="AD155" s="14" t="n"/>
      <c r="AE155" s="13" t="n"/>
      <c r="AF155" s="15">
        <f>IF((1-K155-가정!$C$16-가정!$C$17-가정!$C$27-1/11)&lt;=0,"",IFERROR((I155+L155+M155)/(1-K155-가정!$C$16-가정!$C$17-가정!$C$27-1/11),""))</f>
        <v/>
      </c>
      <c r="AG155" s="15">
        <f>IF(OR(AA155="",AF155=""),"",AA155-AF155)</f>
        <v/>
      </c>
      <c r="AH155" s="16">
        <f>IF(G155="","",IFERROR((IF(AE155="",0,가정!$C$31*MIN(1,LOG(AE155+1)/LOG(가정!$C$30)))+IF(AB155="",0,가정!$C$32*(MAX(0,1-AB155/가정!$C$29)*0.6+AC155*0.4))+IF(AD155="",0,가정!$C$33*MAX(0,1-AD155))+IF(V155="",0,가정!$C$34*MIN(1,MAX(0,(V155-가정!$C$27)/(가정!$C$28-가정!$C$27)))))/(IF(AE155="",0,가정!$C$31)+IF(AB155="",0,가정!$C$32)+IF(AD155="",0,가정!$C$33)+IF(V155="",0,가정!$C$34))*100,""))</f>
        <v/>
      </c>
      <c r="AI155" s="17">
        <f>IF(AH155="","",IF(U155&lt;=0,"역마진",IF(AH155&gt;=가정!$C$35,"GO",IF(AH155&gt;=가정!$C$36,"검토","SKIP"))))</f>
        <v/>
      </c>
    </row>
    <row r="156">
      <c r="B156" s="6" t="n">
        <v>149</v>
      </c>
      <c r="C156" s="7" t="n"/>
      <c r="E156" s="7" t="n"/>
      <c r="F156" s="7" t="n"/>
      <c r="G156" s="8" t="n"/>
      <c r="H156" s="8" t="n">
        <v>0</v>
      </c>
      <c r="I156" s="9">
        <f>J156*가정!$C$10</f>
        <v/>
      </c>
      <c r="J156" s="10" t="n"/>
      <c r="K156" s="11">
        <f>가정!$C$14</f>
        <v/>
      </c>
      <c r="L156" s="8" t="n"/>
      <c r="M156" s="8" t="n"/>
      <c r="N156" s="9">
        <f>IF(가정!$C$25="Y",가정!$C$24,G156*가정!$C$16)</f>
        <v/>
      </c>
      <c r="P156" s="9">
        <f>(G156*K156)+(H156*가정!$C$15)</f>
        <v/>
      </c>
      <c r="Q156" s="9">
        <f>IF(가정!$C$5="간이과세",(G156+H156)*0.015,(G156+H156)/11-((L156+M156+N156+P156)/11)-IF(가정!$C$11="정식통관",I156*가정!$C$12,0))</f>
        <v/>
      </c>
      <c r="R156" s="9">
        <f>G156+H156-I156-L156-M156-N156-P156-Q156</f>
        <v/>
      </c>
      <c r="S156" s="9">
        <f>MAX(0,R156)*가정!$C$7</f>
        <v/>
      </c>
      <c r="T156" s="9">
        <f>G156*가정!$C$17</f>
        <v/>
      </c>
      <c r="U156" s="9">
        <f>R156-S156-T156</f>
        <v/>
      </c>
      <c r="V156" s="12">
        <f>IF(G156=0,"",U156/G156)</f>
        <v/>
      </c>
      <c r="X156" s="7" t="n"/>
      <c r="Y156" s="7" t="n"/>
      <c r="Z156" s="7" t="n"/>
      <c r="AA156" s="13" t="n"/>
      <c r="AB156" s="13" t="n"/>
      <c r="AC156" s="14" t="n"/>
      <c r="AD156" s="14" t="n"/>
      <c r="AE156" s="13" t="n"/>
      <c r="AF156" s="15">
        <f>IF((1-K156-가정!$C$16-가정!$C$17-가정!$C$27-1/11)&lt;=0,"",IFERROR((I156+L156+M156)/(1-K156-가정!$C$16-가정!$C$17-가정!$C$27-1/11),""))</f>
        <v/>
      </c>
      <c r="AG156" s="15">
        <f>IF(OR(AA156="",AF156=""),"",AA156-AF156)</f>
        <v/>
      </c>
      <c r="AH156" s="16">
        <f>IF(G156="","",IFERROR((IF(AE156="",0,가정!$C$31*MIN(1,LOG(AE156+1)/LOG(가정!$C$30)))+IF(AB156="",0,가정!$C$32*(MAX(0,1-AB156/가정!$C$29)*0.6+AC156*0.4))+IF(AD156="",0,가정!$C$33*MAX(0,1-AD156))+IF(V156="",0,가정!$C$34*MIN(1,MAX(0,(V156-가정!$C$27)/(가정!$C$28-가정!$C$27)))))/(IF(AE156="",0,가정!$C$31)+IF(AB156="",0,가정!$C$32)+IF(AD156="",0,가정!$C$33)+IF(V156="",0,가정!$C$34))*100,""))</f>
        <v/>
      </c>
      <c r="AI156" s="17">
        <f>IF(AH156="","",IF(U156&lt;=0,"역마진",IF(AH156&gt;=가정!$C$35,"GO",IF(AH156&gt;=가정!$C$36,"검토","SKIP"))))</f>
        <v/>
      </c>
    </row>
    <row r="157">
      <c r="B157" s="6" t="n">
        <v>150</v>
      </c>
      <c r="C157" s="7" t="n"/>
      <c r="E157" s="7" t="n"/>
      <c r="F157" s="7" t="n"/>
      <c r="G157" s="8" t="n"/>
      <c r="H157" s="8" t="n">
        <v>0</v>
      </c>
      <c r="I157" s="9">
        <f>J157*가정!$C$10</f>
        <v/>
      </c>
      <c r="J157" s="10" t="n"/>
      <c r="K157" s="11">
        <f>가정!$C$14</f>
        <v/>
      </c>
      <c r="L157" s="8" t="n"/>
      <c r="M157" s="8" t="n"/>
      <c r="N157" s="9">
        <f>IF(가정!$C$25="Y",가정!$C$24,G157*가정!$C$16)</f>
        <v/>
      </c>
      <c r="P157" s="9">
        <f>(G157*K157)+(H157*가정!$C$15)</f>
        <v/>
      </c>
      <c r="Q157" s="9">
        <f>IF(가정!$C$5="간이과세",(G157+H157)*0.015,(G157+H157)/11-((L157+M157+N157+P157)/11)-IF(가정!$C$11="정식통관",I157*가정!$C$12,0))</f>
        <v/>
      </c>
      <c r="R157" s="9">
        <f>G157+H157-I157-L157-M157-N157-P157-Q157</f>
        <v/>
      </c>
      <c r="S157" s="9">
        <f>MAX(0,R157)*가정!$C$7</f>
        <v/>
      </c>
      <c r="T157" s="9">
        <f>G157*가정!$C$17</f>
        <v/>
      </c>
      <c r="U157" s="9">
        <f>R157-S157-T157</f>
        <v/>
      </c>
      <c r="V157" s="12">
        <f>IF(G157=0,"",U157/G157)</f>
        <v/>
      </c>
      <c r="X157" s="7" t="n"/>
      <c r="Y157" s="7" t="n"/>
      <c r="Z157" s="7" t="n"/>
      <c r="AA157" s="13" t="n"/>
      <c r="AB157" s="13" t="n"/>
      <c r="AC157" s="14" t="n"/>
      <c r="AD157" s="14" t="n"/>
      <c r="AE157" s="13" t="n"/>
      <c r="AF157" s="15">
        <f>IF((1-K157-가정!$C$16-가정!$C$17-가정!$C$27-1/11)&lt;=0,"",IFERROR((I157+L157+M157)/(1-K157-가정!$C$16-가정!$C$17-가정!$C$27-1/11),""))</f>
        <v/>
      </c>
      <c r="AG157" s="15">
        <f>IF(OR(AA157="",AF157=""),"",AA157-AF157)</f>
        <v/>
      </c>
      <c r="AH157" s="16">
        <f>IF(G157="","",IFERROR((IF(AE157="",0,가정!$C$31*MIN(1,LOG(AE157+1)/LOG(가정!$C$30)))+IF(AB157="",0,가정!$C$32*(MAX(0,1-AB157/가정!$C$29)*0.6+AC157*0.4))+IF(AD157="",0,가정!$C$33*MAX(0,1-AD157))+IF(V157="",0,가정!$C$34*MIN(1,MAX(0,(V157-가정!$C$27)/(가정!$C$28-가정!$C$27)))))/(IF(AE157="",0,가정!$C$31)+IF(AB157="",0,가정!$C$32)+IF(AD157="",0,가정!$C$33)+IF(V157="",0,가정!$C$34))*100,""))</f>
        <v/>
      </c>
      <c r="AI157" s="17">
        <f>IF(AH157="","",IF(U157&lt;=0,"역마진",IF(AH157&gt;=가정!$C$35,"GO",IF(AH157&gt;=가정!$C$36,"검토","SKIP"))))</f>
        <v/>
      </c>
    </row>
    <row r="158">
      <c r="B158" s="6" t="n">
        <v>151</v>
      </c>
      <c r="C158" s="7" t="n"/>
      <c r="E158" s="7" t="n"/>
      <c r="F158" s="7" t="n"/>
      <c r="G158" s="8" t="n"/>
      <c r="H158" s="8" t="n">
        <v>0</v>
      </c>
      <c r="I158" s="9">
        <f>J158*가정!$C$10</f>
        <v/>
      </c>
      <c r="J158" s="10" t="n"/>
      <c r="K158" s="11">
        <f>가정!$C$14</f>
        <v/>
      </c>
      <c r="L158" s="8" t="n"/>
      <c r="M158" s="8" t="n"/>
      <c r="N158" s="9">
        <f>IF(가정!$C$25="Y",가정!$C$24,G158*가정!$C$16)</f>
        <v/>
      </c>
      <c r="P158" s="9">
        <f>(G158*K158)+(H158*가정!$C$15)</f>
        <v/>
      </c>
      <c r="Q158" s="9">
        <f>IF(가정!$C$5="간이과세",(G158+H158)*0.015,(G158+H158)/11-((L158+M158+N158+P158)/11)-IF(가정!$C$11="정식통관",I158*가정!$C$12,0))</f>
        <v/>
      </c>
      <c r="R158" s="9">
        <f>G158+H158-I158-L158-M158-N158-P158-Q158</f>
        <v/>
      </c>
      <c r="S158" s="9">
        <f>MAX(0,R158)*가정!$C$7</f>
        <v/>
      </c>
      <c r="T158" s="9">
        <f>G158*가정!$C$17</f>
        <v/>
      </c>
      <c r="U158" s="9">
        <f>R158-S158-T158</f>
        <v/>
      </c>
      <c r="V158" s="12">
        <f>IF(G158=0,"",U158/G158)</f>
        <v/>
      </c>
      <c r="X158" s="7" t="n"/>
      <c r="Y158" s="7" t="n"/>
      <c r="Z158" s="7" t="n"/>
      <c r="AA158" s="13" t="n"/>
      <c r="AB158" s="13" t="n"/>
      <c r="AC158" s="14" t="n"/>
      <c r="AD158" s="14" t="n"/>
      <c r="AE158" s="13" t="n"/>
      <c r="AF158" s="15">
        <f>IF((1-K158-가정!$C$16-가정!$C$17-가정!$C$27-1/11)&lt;=0,"",IFERROR((I158+L158+M158)/(1-K158-가정!$C$16-가정!$C$17-가정!$C$27-1/11),""))</f>
        <v/>
      </c>
      <c r="AG158" s="15">
        <f>IF(OR(AA158="",AF158=""),"",AA158-AF158)</f>
        <v/>
      </c>
      <c r="AH158" s="16">
        <f>IF(G158="","",IFERROR((IF(AE158="",0,가정!$C$31*MIN(1,LOG(AE158+1)/LOG(가정!$C$30)))+IF(AB158="",0,가정!$C$32*(MAX(0,1-AB158/가정!$C$29)*0.6+AC158*0.4))+IF(AD158="",0,가정!$C$33*MAX(0,1-AD158))+IF(V158="",0,가정!$C$34*MIN(1,MAX(0,(V158-가정!$C$27)/(가정!$C$28-가정!$C$27)))))/(IF(AE158="",0,가정!$C$31)+IF(AB158="",0,가정!$C$32)+IF(AD158="",0,가정!$C$33)+IF(V158="",0,가정!$C$34))*100,""))</f>
        <v/>
      </c>
      <c r="AI158" s="17">
        <f>IF(AH158="","",IF(U158&lt;=0,"역마진",IF(AH158&gt;=가정!$C$35,"GO",IF(AH158&gt;=가정!$C$36,"검토","SKIP"))))</f>
        <v/>
      </c>
    </row>
    <row r="159">
      <c r="B159" s="6" t="n">
        <v>152</v>
      </c>
      <c r="C159" s="7" t="n"/>
      <c r="E159" s="7" t="n"/>
      <c r="F159" s="7" t="n"/>
      <c r="G159" s="8" t="n"/>
      <c r="H159" s="8" t="n">
        <v>0</v>
      </c>
      <c r="I159" s="9">
        <f>J159*가정!$C$10</f>
        <v/>
      </c>
      <c r="J159" s="10" t="n"/>
      <c r="K159" s="11">
        <f>가정!$C$14</f>
        <v/>
      </c>
      <c r="L159" s="8" t="n"/>
      <c r="M159" s="8" t="n"/>
      <c r="N159" s="9">
        <f>IF(가정!$C$25="Y",가정!$C$24,G159*가정!$C$16)</f>
        <v/>
      </c>
      <c r="P159" s="9">
        <f>(G159*K159)+(H159*가정!$C$15)</f>
        <v/>
      </c>
      <c r="Q159" s="9">
        <f>IF(가정!$C$5="간이과세",(G159+H159)*0.015,(G159+H159)/11-((L159+M159+N159+P159)/11)-IF(가정!$C$11="정식통관",I159*가정!$C$12,0))</f>
        <v/>
      </c>
      <c r="R159" s="9">
        <f>G159+H159-I159-L159-M159-N159-P159-Q159</f>
        <v/>
      </c>
      <c r="S159" s="9">
        <f>MAX(0,R159)*가정!$C$7</f>
        <v/>
      </c>
      <c r="T159" s="9">
        <f>G159*가정!$C$17</f>
        <v/>
      </c>
      <c r="U159" s="9">
        <f>R159-S159-T159</f>
        <v/>
      </c>
      <c r="V159" s="12">
        <f>IF(G159=0,"",U159/G159)</f>
        <v/>
      </c>
      <c r="X159" s="7" t="n"/>
      <c r="Y159" s="7" t="n"/>
      <c r="Z159" s="7" t="n"/>
      <c r="AA159" s="13" t="n"/>
      <c r="AB159" s="13" t="n"/>
      <c r="AC159" s="14" t="n"/>
      <c r="AD159" s="14" t="n"/>
      <c r="AE159" s="13" t="n"/>
      <c r="AF159" s="15">
        <f>IF((1-K159-가정!$C$16-가정!$C$17-가정!$C$27-1/11)&lt;=0,"",IFERROR((I159+L159+M159)/(1-K159-가정!$C$16-가정!$C$17-가정!$C$27-1/11),""))</f>
        <v/>
      </c>
      <c r="AG159" s="15">
        <f>IF(OR(AA159="",AF159=""),"",AA159-AF159)</f>
        <v/>
      </c>
      <c r="AH159" s="16">
        <f>IF(G159="","",IFERROR((IF(AE159="",0,가정!$C$31*MIN(1,LOG(AE159+1)/LOG(가정!$C$30)))+IF(AB159="",0,가정!$C$32*(MAX(0,1-AB159/가정!$C$29)*0.6+AC159*0.4))+IF(AD159="",0,가정!$C$33*MAX(0,1-AD159))+IF(V159="",0,가정!$C$34*MIN(1,MAX(0,(V159-가정!$C$27)/(가정!$C$28-가정!$C$27)))))/(IF(AE159="",0,가정!$C$31)+IF(AB159="",0,가정!$C$32)+IF(AD159="",0,가정!$C$33)+IF(V159="",0,가정!$C$34))*100,""))</f>
        <v/>
      </c>
      <c r="AI159" s="17">
        <f>IF(AH159="","",IF(U159&lt;=0,"역마진",IF(AH159&gt;=가정!$C$35,"GO",IF(AH159&gt;=가정!$C$36,"검토","SKIP"))))</f>
        <v/>
      </c>
    </row>
    <row r="160">
      <c r="B160" s="6" t="n">
        <v>153</v>
      </c>
      <c r="C160" s="7" t="n"/>
      <c r="E160" s="7" t="n"/>
      <c r="F160" s="7" t="n"/>
      <c r="G160" s="8" t="n"/>
      <c r="H160" s="8" t="n">
        <v>0</v>
      </c>
      <c r="I160" s="9">
        <f>J160*가정!$C$10</f>
        <v/>
      </c>
      <c r="J160" s="10" t="n"/>
      <c r="K160" s="11">
        <f>가정!$C$14</f>
        <v/>
      </c>
      <c r="L160" s="8" t="n"/>
      <c r="M160" s="8" t="n"/>
      <c r="N160" s="9">
        <f>IF(가정!$C$25="Y",가정!$C$24,G160*가정!$C$16)</f>
        <v/>
      </c>
      <c r="P160" s="9">
        <f>(G160*K160)+(H160*가정!$C$15)</f>
        <v/>
      </c>
      <c r="Q160" s="9">
        <f>IF(가정!$C$5="간이과세",(G160+H160)*0.015,(G160+H160)/11-((L160+M160+N160+P160)/11)-IF(가정!$C$11="정식통관",I160*가정!$C$12,0))</f>
        <v/>
      </c>
      <c r="R160" s="9">
        <f>G160+H160-I160-L160-M160-N160-P160-Q160</f>
        <v/>
      </c>
      <c r="S160" s="9">
        <f>MAX(0,R160)*가정!$C$7</f>
        <v/>
      </c>
      <c r="T160" s="9">
        <f>G160*가정!$C$17</f>
        <v/>
      </c>
      <c r="U160" s="9">
        <f>R160-S160-T160</f>
        <v/>
      </c>
      <c r="V160" s="12">
        <f>IF(G160=0,"",U160/G160)</f>
        <v/>
      </c>
      <c r="X160" s="7" t="n"/>
      <c r="Y160" s="7" t="n"/>
      <c r="Z160" s="7" t="n"/>
      <c r="AA160" s="13" t="n"/>
      <c r="AB160" s="13" t="n"/>
      <c r="AC160" s="14" t="n"/>
      <c r="AD160" s="14" t="n"/>
      <c r="AE160" s="13" t="n"/>
      <c r="AF160" s="15">
        <f>IF((1-K160-가정!$C$16-가정!$C$17-가정!$C$27-1/11)&lt;=0,"",IFERROR((I160+L160+M160)/(1-K160-가정!$C$16-가정!$C$17-가정!$C$27-1/11),""))</f>
        <v/>
      </c>
      <c r="AG160" s="15">
        <f>IF(OR(AA160="",AF160=""),"",AA160-AF160)</f>
        <v/>
      </c>
      <c r="AH160" s="16">
        <f>IF(G160="","",IFERROR((IF(AE160="",0,가정!$C$31*MIN(1,LOG(AE160+1)/LOG(가정!$C$30)))+IF(AB160="",0,가정!$C$32*(MAX(0,1-AB160/가정!$C$29)*0.6+AC160*0.4))+IF(AD160="",0,가정!$C$33*MAX(0,1-AD160))+IF(V160="",0,가정!$C$34*MIN(1,MAX(0,(V160-가정!$C$27)/(가정!$C$28-가정!$C$27)))))/(IF(AE160="",0,가정!$C$31)+IF(AB160="",0,가정!$C$32)+IF(AD160="",0,가정!$C$33)+IF(V160="",0,가정!$C$34))*100,""))</f>
        <v/>
      </c>
      <c r="AI160" s="17">
        <f>IF(AH160="","",IF(U160&lt;=0,"역마진",IF(AH160&gt;=가정!$C$35,"GO",IF(AH160&gt;=가정!$C$36,"검토","SKIP"))))</f>
        <v/>
      </c>
    </row>
    <row r="161">
      <c r="B161" s="6" t="n">
        <v>154</v>
      </c>
      <c r="C161" s="7" t="n"/>
      <c r="E161" s="7" t="n"/>
      <c r="F161" s="7" t="n"/>
      <c r="G161" s="8" t="n"/>
      <c r="H161" s="8" t="n">
        <v>0</v>
      </c>
      <c r="I161" s="9">
        <f>J161*가정!$C$10</f>
        <v/>
      </c>
      <c r="J161" s="10" t="n"/>
      <c r="K161" s="11">
        <f>가정!$C$14</f>
        <v/>
      </c>
      <c r="L161" s="8" t="n"/>
      <c r="M161" s="8" t="n"/>
      <c r="N161" s="9">
        <f>IF(가정!$C$25="Y",가정!$C$24,G161*가정!$C$16)</f>
        <v/>
      </c>
      <c r="P161" s="9">
        <f>(G161*K161)+(H161*가정!$C$15)</f>
        <v/>
      </c>
      <c r="Q161" s="9">
        <f>IF(가정!$C$5="간이과세",(G161+H161)*0.015,(G161+H161)/11-((L161+M161+N161+P161)/11)-IF(가정!$C$11="정식통관",I161*가정!$C$12,0))</f>
        <v/>
      </c>
      <c r="R161" s="9">
        <f>G161+H161-I161-L161-M161-N161-P161-Q161</f>
        <v/>
      </c>
      <c r="S161" s="9">
        <f>MAX(0,R161)*가정!$C$7</f>
        <v/>
      </c>
      <c r="T161" s="9">
        <f>G161*가정!$C$17</f>
        <v/>
      </c>
      <c r="U161" s="9">
        <f>R161-S161-T161</f>
        <v/>
      </c>
      <c r="V161" s="12">
        <f>IF(G161=0,"",U161/G161)</f>
        <v/>
      </c>
      <c r="X161" s="7" t="n"/>
      <c r="Y161" s="7" t="n"/>
      <c r="Z161" s="7" t="n"/>
      <c r="AA161" s="13" t="n"/>
      <c r="AB161" s="13" t="n"/>
      <c r="AC161" s="14" t="n"/>
      <c r="AD161" s="14" t="n"/>
      <c r="AE161" s="13" t="n"/>
      <c r="AF161" s="15">
        <f>IF((1-K161-가정!$C$16-가정!$C$17-가정!$C$27-1/11)&lt;=0,"",IFERROR((I161+L161+M161)/(1-K161-가정!$C$16-가정!$C$17-가정!$C$27-1/11),""))</f>
        <v/>
      </c>
      <c r="AG161" s="15">
        <f>IF(OR(AA161="",AF161=""),"",AA161-AF161)</f>
        <v/>
      </c>
      <c r="AH161" s="16">
        <f>IF(G161="","",IFERROR((IF(AE161="",0,가정!$C$31*MIN(1,LOG(AE161+1)/LOG(가정!$C$30)))+IF(AB161="",0,가정!$C$32*(MAX(0,1-AB161/가정!$C$29)*0.6+AC161*0.4))+IF(AD161="",0,가정!$C$33*MAX(0,1-AD161))+IF(V161="",0,가정!$C$34*MIN(1,MAX(0,(V161-가정!$C$27)/(가정!$C$28-가정!$C$27)))))/(IF(AE161="",0,가정!$C$31)+IF(AB161="",0,가정!$C$32)+IF(AD161="",0,가정!$C$33)+IF(V161="",0,가정!$C$34))*100,""))</f>
        <v/>
      </c>
      <c r="AI161" s="17">
        <f>IF(AH161="","",IF(U161&lt;=0,"역마진",IF(AH161&gt;=가정!$C$35,"GO",IF(AH161&gt;=가정!$C$36,"검토","SKIP"))))</f>
        <v/>
      </c>
    </row>
    <row r="162">
      <c r="B162" s="6" t="n">
        <v>155</v>
      </c>
      <c r="C162" s="7" t="n"/>
      <c r="E162" s="7" t="n"/>
      <c r="F162" s="7" t="n"/>
      <c r="G162" s="8" t="n"/>
      <c r="H162" s="8" t="n">
        <v>0</v>
      </c>
      <c r="I162" s="9">
        <f>J162*가정!$C$10</f>
        <v/>
      </c>
      <c r="J162" s="10" t="n"/>
      <c r="K162" s="11">
        <f>가정!$C$14</f>
        <v/>
      </c>
      <c r="L162" s="8" t="n"/>
      <c r="M162" s="8" t="n"/>
      <c r="N162" s="9">
        <f>IF(가정!$C$25="Y",가정!$C$24,G162*가정!$C$16)</f>
        <v/>
      </c>
      <c r="P162" s="9">
        <f>(G162*K162)+(H162*가정!$C$15)</f>
        <v/>
      </c>
      <c r="Q162" s="9">
        <f>IF(가정!$C$5="간이과세",(G162+H162)*0.015,(G162+H162)/11-((L162+M162+N162+P162)/11)-IF(가정!$C$11="정식통관",I162*가정!$C$12,0))</f>
        <v/>
      </c>
      <c r="R162" s="9">
        <f>G162+H162-I162-L162-M162-N162-P162-Q162</f>
        <v/>
      </c>
      <c r="S162" s="9">
        <f>MAX(0,R162)*가정!$C$7</f>
        <v/>
      </c>
      <c r="T162" s="9">
        <f>G162*가정!$C$17</f>
        <v/>
      </c>
      <c r="U162" s="9">
        <f>R162-S162-T162</f>
        <v/>
      </c>
      <c r="V162" s="12">
        <f>IF(G162=0,"",U162/G162)</f>
        <v/>
      </c>
      <c r="X162" s="7" t="n"/>
      <c r="Y162" s="7" t="n"/>
      <c r="Z162" s="7" t="n"/>
      <c r="AA162" s="13" t="n"/>
      <c r="AB162" s="13" t="n"/>
      <c r="AC162" s="14" t="n"/>
      <c r="AD162" s="14" t="n"/>
      <c r="AE162" s="13" t="n"/>
      <c r="AF162" s="15">
        <f>IF((1-K162-가정!$C$16-가정!$C$17-가정!$C$27-1/11)&lt;=0,"",IFERROR((I162+L162+M162)/(1-K162-가정!$C$16-가정!$C$17-가정!$C$27-1/11),""))</f>
        <v/>
      </c>
      <c r="AG162" s="15">
        <f>IF(OR(AA162="",AF162=""),"",AA162-AF162)</f>
        <v/>
      </c>
      <c r="AH162" s="16">
        <f>IF(G162="","",IFERROR((IF(AE162="",0,가정!$C$31*MIN(1,LOG(AE162+1)/LOG(가정!$C$30)))+IF(AB162="",0,가정!$C$32*(MAX(0,1-AB162/가정!$C$29)*0.6+AC162*0.4))+IF(AD162="",0,가정!$C$33*MAX(0,1-AD162))+IF(V162="",0,가정!$C$34*MIN(1,MAX(0,(V162-가정!$C$27)/(가정!$C$28-가정!$C$27)))))/(IF(AE162="",0,가정!$C$31)+IF(AB162="",0,가정!$C$32)+IF(AD162="",0,가정!$C$33)+IF(V162="",0,가정!$C$34))*100,""))</f>
        <v/>
      </c>
      <c r="AI162" s="17">
        <f>IF(AH162="","",IF(U162&lt;=0,"역마진",IF(AH162&gt;=가정!$C$35,"GO",IF(AH162&gt;=가정!$C$36,"검토","SKIP"))))</f>
        <v/>
      </c>
    </row>
    <row r="163">
      <c r="B163" s="6" t="n">
        <v>156</v>
      </c>
      <c r="C163" s="7" t="n"/>
      <c r="E163" s="7" t="n"/>
      <c r="F163" s="7" t="n"/>
      <c r="G163" s="8" t="n"/>
      <c r="H163" s="8" t="n">
        <v>0</v>
      </c>
      <c r="I163" s="9">
        <f>J163*가정!$C$10</f>
        <v/>
      </c>
      <c r="J163" s="10" t="n"/>
      <c r="K163" s="11">
        <f>가정!$C$14</f>
        <v/>
      </c>
      <c r="L163" s="8" t="n"/>
      <c r="M163" s="8" t="n"/>
      <c r="N163" s="9">
        <f>IF(가정!$C$25="Y",가정!$C$24,G163*가정!$C$16)</f>
        <v/>
      </c>
      <c r="P163" s="9">
        <f>(G163*K163)+(H163*가정!$C$15)</f>
        <v/>
      </c>
      <c r="Q163" s="9">
        <f>IF(가정!$C$5="간이과세",(G163+H163)*0.015,(G163+H163)/11-((L163+M163+N163+P163)/11)-IF(가정!$C$11="정식통관",I163*가정!$C$12,0))</f>
        <v/>
      </c>
      <c r="R163" s="9">
        <f>G163+H163-I163-L163-M163-N163-P163-Q163</f>
        <v/>
      </c>
      <c r="S163" s="9">
        <f>MAX(0,R163)*가정!$C$7</f>
        <v/>
      </c>
      <c r="T163" s="9">
        <f>G163*가정!$C$17</f>
        <v/>
      </c>
      <c r="U163" s="9">
        <f>R163-S163-T163</f>
        <v/>
      </c>
      <c r="V163" s="12">
        <f>IF(G163=0,"",U163/G163)</f>
        <v/>
      </c>
      <c r="X163" s="7" t="n"/>
      <c r="Y163" s="7" t="n"/>
      <c r="Z163" s="7" t="n"/>
      <c r="AA163" s="13" t="n"/>
      <c r="AB163" s="13" t="n"/>
      <c r="AC163" s="14" t="n"/>
      <c r="AD163" s="14" t="n"/>
      <c r="AE163" s="13" t="n"/>
      <c r="AF163" s="15">
        <f>IF((1-K163-가정!$C$16-가정!$C$17-가정!$C$27-1/11)&lt;=0,"",IFERROR((I163+L163+M163)/(1-K163-가정!$C$16-가정!$C$17-가정!$C$27-1/11),""))</f>
        <v/>
      </c>
      <c r="AG163" s="15">
        <f>IF(OR(AA163="",AF163=""),"",AA163-AF163)</f>
        <v/>
      </c>
      <c r="AH163" s="16">
        <f>IF(G163="","",IFERROR((IF(AE163="",0,가정!$C$31*MIN(1,LOG(AE163+1)/LOG(가정!$C$30)))+IF(AB163="",0,가정!$C$32*(MAX(0,1-AB163/가정!$C$29)*0.6+AC163*0.4))+IF(AD163="",0,가정!$C$33*MAX(0,1-AD163))+IF(V163="",0,가정!$C$34*MIN(1,MAX(0,(V163-가정!$C$27)/(가정!$C$28-가정!$C$27)))))/(IF(AE163="",0,가정!$C$31)+IF(AB163="",0,가정!$C$32)+IF(AD163="",0,가정!$C$33)+IF(V163="",0,가정!$C$34))*100,""))</f>
        <v/>
      </c>
      <c r="AI163" s="17">
        <f>IF(AH163="","",IF(U163&lt;=0,"역마진",IF(AH163&gt;=가정!$C$35,"GO",IF(AH163&gt;=가정!$C$36,"검토","SKIP"))))</f>
        <v/>
      </c>
    </row>
    <row r="164">
      <c r="B164" s="6" t="n">
        <v>157</v>
      </c>
      <c r="C164" s="7" t="n"/>
      <c r="E164" s="7" t="n"/>
      <c r="F164" s="7" t="n"/>
      <c r="G164" s="8" t="n"/>
      <c r="H164" s="8" t="n">
        <v>0</v>
      </c>
      <c r="I164" s="9">
        <f>J164*가정!$C$10</f>
        <v/>
      </c>
      <c r="J164" s="10" t="n"/>
      <c r="K164" s="11">
        <f>가정!$C$14</f>
        <v/>
      </c>
      <c r="L164" s="8" t="n"/>
      <c r="M164" s="8" t="n"/>
      <c r="N164" s="9">
        <f>IF(가정!$C$25="Y",가정!$C$24,G164*가정!$C$16)</f>
        <v/>
      </c>
      <c r="P164" s="9">
        <f>(G164*K164)+(H164*가정!$C$15)</f>
        <v/>
      </c>
      <c r="Q164" s="9">
        <f>IF(가정!$C$5="간이과세",(G164+H164)*0.015,(G164+H164)/11-((L164+M164+N164+P164)/11)-IF(가정!$C$11="정식통관",I164*가정!$C$12,0))</f>
        <v/>
      </c>
      <c r="R164" s="9">
        <f>G164+H164-I164-L164-M164-N164-P164-Q164</f>
        <v/>
      </c>
      <c r="S164" s="9">
        <f>MAX(0,R164)*가정!$C$7</f>
        <v/>
      </c>
      <c r="T164" s="9">
        <f>G164*가정!$C$17</f>
        <v/>
      </c>
      <c r="U164" s="9">
        <f>R164-S164-T164</f>
        <v/>
      </c>
      <c r="V164" s="12">
        <f>IF(G164=0,"",U164/G164)</f>
        <v/>
      </c>
      <c r="X164" s="7" t="n"/>
      <c r="Y164" s="7" t="n"/>
      <c r="Z164" s="7" t="n"/>
      <c r="AA164" s="13" t="n"/>
      <c r="AB164" s="13" t="n"/>
      <c r="AC164" s="14" t="n"/>
      <c r="AD164" s="14" t="n"/>
      <c r="AE164" s="13" t="n"/>
      <c r="AF164" s="15">
        <f>IF((1-K164-가정!$C$16-가정!$C$17-가정!$C$27-1/11)&lt;=0,"",IFERROR((I164+L164+M164)/(1-K164-가정!$C$16-가정!$C$17-가정!$C$27-1/11),""))</f>
        <v/>
      </c>
      <c r="AG164" s="15">
        <f>IF(OR(AA164="",AF164=""),"",AA164-AF164)</f>
        <v/>
      </c>
      <c r="AH164" s="16">
        <f>IF(G164="","",IFERROR((IF(AE164="",0,가정!$C$31*MIN(1,LOG(AE164+1)/LOG(가정!$C$30)))+IF(AB164="",0,가정!$C$32*(MAX(0,1-AB164/가정!$C$29)*0.6+AC164*0.4))+IF(AD164="",0,가정!$C$33*MAX(0,1-AD164))+IF(V164="",0,가정!$C$34*MIN(1,MAX(0,(V164-가정!$C$27)/(가정!$C$28-가정!$C$27)))))/(IF(AE164="",0,가정!$C$31)+IF(AB164="",0,가정!$C$32)+IF(AD164="",0,가정!$C$33)+IF(V164="",0,가정!$C$34))*100,""))</f>
        <v/>
      </c>
      <c r="AI164" s="17">
        <f>IF(AH164="","",IF(U164&lt;=0,"역마진",IF(AH164&gt;=가정!$C$35,"GO",IF(AH164&gt;=가정!$C$36,"검토","SKIP"))))</f>
        <v/>
      </c>
    </row>
    <row r="165">
      <c r="B165" s="6" t="n">
        <v>158</v>
      </c>
      <c r="C165" s="7" t="n"/>
      <c r="E165" s="7" t="n"/>
      <c r="F165" s="7" t="n"/>
      <c r="G165" s="8" t="n"/>
      <c r="H165" s="8" t="n">
        <v>0</v>
      </c>
      <c r="I165" s="9">
        <f>J165*가정!$C$10</f>
        <v/>
      </c>
      <c r="J165" s="10" t="n"/>
      <c r="K165" s="11">
        <f>가정!$C$14</f>
        <v/>
      </c>
      <c r="L165" s="8" t="n"/>
      <c r="M165" s="8" t="n"/>
      <c r="N165" s="9">
        <f>IF(가정!$C$25="Y",가정!$C$24,G165*가정!$C$16)</f>
        <v/>
      </c>
      <c r="P165" s="9">
        <f>(G165*K165)+(H165*가정!$C$15)</f>
        <v/>
      </c>
      <c r="Q165" s="9">
        <f>IF(가정!$C$5="간이과세",(G165+H165)*0.015,(G165+H165)/11-((L165+M165+N165+P165)/11)-IF(가정!$C$11="정식통관",I165*가정!$C$12,0))</f>
        <v/>
      </c>
      <c r="R165" s="9">
        <f>G165+H165-I165-L165-M165-N165-P165-Q165</f>
        <v/>
      </c>
      <c r="S165" s="9">
        <f>MAX(0,R165)*가정!$C$7</f>
        <v/>
      </c>
      <c r="T165" s="9">
        <f>G165*가정!$C$17</f>
        <v/>
      </c>
      <c r="U165" s="9">
        <f>R165-S165-T165</f>
        <v/>
      </c>
      <c r="V165" s="12">
        <f>IF(G165=0,"",U165/G165)</f>
        <v/>
      </c>
      <c r="X165" s="7" t="n"/>
      <c r="Y165" s="7" t="n"/>
      <c r="Z165" s="7" t="n"/>
      <c r="AA165" s="13" t="n"/>
      <c r="AB165" s="13" t="n"/>
      <c r="AC165" s="14" t="n"/>
      <c r="AD165" s="14" t="n"/>
      <c r="AE165" s="13" t="n"/>
      <c r="AF165" s="15">
        <f>IF((1-K165-가정!$C$16-가정!$C$17-가정!$C$27-1/11)&lt;=0,"",IFERROR((I165+L165+M165)/(1-K165-가정!$C$16-가정!$C$17-가정!$C$27-1/11),""))</f>
        <v/>
      </c>
      <c r="AG165" s="15">
        <f>IF(OR(AA165="",AF165=""),"",AA165-AF165)</f>
        <v/>
      </c>
      <c r="AH165" s="16">
        <f>IF(G165="","",IFERROR((IF(AE165="",0,가정!$C$31*MIN(1,LOG(AE165+1)/LOG(가정!$C$30)))+IF(AB165="",0,가정!$C$32*(MAX(0,1-AB165/가정!$C$29)*0.6+AC165*0.4))+IF(AD165="",0,가정!$C$33*MAX(0,1-AD165))+IF(V165="",0,가정!$C$34*MIN(1,MAX(0,(V165-가정!$C$27)/(가정!$C$28-가정!$C$27)))))/(IF(AE165="",0,가정!$C$31)+IF(AB165="",0,가정!$C$32)+IF(AD165="",0,가정!$C$33)+IF(V165="",0,가정!$C$34))*100,""))</f>
        <v/>
      </c>
      <c r="AI165" s="17">
        <f>IF(AH165="","",IF(U165&lt;=0,"역마진",IF(AH165&gt;=가정!$C$35,"GO",IF(AH165&gt;=가정!$C$36,"검토","SKIP"))))</f>
        <v/>
      </c>
    </row>
    <row r="166">
      <c r="B166" s="6" t="n">
        <v>159</v>
      </c>
      <c r="C166" s="7" t="n"/>
      <c r="E166" s="7" t="n"/>
      <c r="F166" s="7" t="n"/>
      <c r="G166" s="8" t="n"/>
      <c r="H166" s="8" t="n">
        <v>0</v>
      </c>
      <c r="I166" s="9">
        <f>J166*가정!$C$10</f>
        <v/>
      </c>
      <c r="J166" s="10" t="n"/>
      <c r="K166" s="11">
        <f>가정!$C$14</f>
        <v/>
      </c>
      <c r="L166" s="8" t="n"/>
      <c r="M166" s="8" t="n"/>
      <c r="N166" s="9">
        <f>IF(가정!$C$25="Y",가정!$C$24,G166*가정!$C$16)</f>
        <v/>
      </c>
      <c r="P166" s="9">
        <f>(G166*K166)+(H166*가정!$C$15)</f>
        <v/>
      </c>
      <c r="Q166" s="9">
        <f>IF(가정!$C$5="간이과세",(G166+H166)*0.015,(G166+H166)/11-((L166+M166+N166+P166)/11)-IF(가정!$C$11="정식통관",I166*가정!$C$12,0))</f>
        <v/>
      </c>
      <c r="R166" s="9">
        <f>G166+H166-I166-L166-M166-N166-P166-Q166</f>
        <v/>
      </c>
      <c r="S166" s="9">
        <f>MAX(0,R166)*가정!$C$7</f>
        <v/>
      </c>
      <c r="T166" s="9">
        <f>G166*가정!$C$17</f>
        <v/>
      </c>
      <c r="U166" s="9">
        <f>R166-S166-T166</f>
        <v/>
      </c>
      <c r="V166" s="12">
        <f>IF(G166=0,"",U166/G166)</f>
        <v/>
      </c>
      <c r="X166" s="7" t="n"/>
      <c r="Y166" s="7" t="n"/>
      <c r="Z166" s="7" t="n"/>
      <c r="AA166" s="13" t="n"/>
      <c r="AB166" s="13" t="n"/>
      <c r="AC166" s="14" t="n"/>
      <c r="AD166" s="14" t="n"/>
      <c r="AE166" s="13" t="n"/>
      <c r="AF166" s="15">
        <f>IF((1-K166-가정!$C$16-가정!$C$17-가정!$C$27-1/11)&lt;=0,"",IFERROR((I166+L166+M166)/(1-K166-가정!$C$16-가정!$C$17-가정!$C$27-1/11),""))</f>
        <v/>
      </c>
      <c r="AG166" s="15">
        <f>IF(OR(AA166="",AF166=""),"",AA166-AF166)</f>
        <v/>
      </c>
      <c r="AH166" s="16">
        <f>IF(G166="","",IFERROR((IF(AE166="",0,가정!$C$31*MIN(1,LOG(AE166+1)/LOG(가정!$C$30)))+IF(AB166="",0,가정!$C$32*(MAX(0,1-AB166/가정!$C$29)*0.6+AC166*0.4))+IF(AD166="",0,가정!$C$33*MAX(0,1-AD166))+IF(V166="",0,가정!$C$34*MIN(1,MAX(0,(V166-가정!$C$27)/(가정!$C$28-가정!$C$27)))))/(IF(AE166="",0,가정!$C$31)+IF(AB166="",0,가정!$C$32)+IF(AD166="",0,가정!$C$33)+IF(V166="",0,가정!$C$34))*100,""))</f>
        <v/>
      </c>
      <c r="AI166" s="17">
        <f>IF(AH166="","",IF(U166&lt;=0,"역마진",IF(AH166&gt;=가정!$C$35,"GO",IF(AH166&gt;=가정!$C$36,"검토","SKIP"))))</f>
        <v/>
      </c>
    </row>
    <row r="167">
      <c r="B167" s="6" t="n">
        <v>160</v>
      </c>
      <c r="C167" s="7" t="n"/>
      <c r="E167" s="7" t="n"/>
      <c r="F167" s="7" t="n"/>
      <c r="G167" s="8" t="n"/>
      <c r="H167" s="8" t="n">
        <v>0</v>
      </c>
      <c r="I167" s="9">
        <f>J167*가정!$C$10</f>
        <v/>
      </c>
      <c r="J167" s="10" t="n"/>
      <c r="K167" s="11">
        <f>가정!$C$14</f>
        <v/>
      </c>
      <c r="L167" s="8" t="n"/>
      <c r="M167" s="8" t="n"/>
      <c r="N167" s="9">
        <f>IF(가정!$C$25="Y",가정!$C$24,G167*가정!$C$16)</f>
        <v/>
      </c>
      <c r="P167" s="9">
        <f>(G167*K167)+(H167*가정!$C$15)</f>
        <v/>
      </c>
      <c r="Q167" s="9">
        <f>IF(가정!$C$5="간이과세",(G167+H167)*0.015,(G167+H167)/11-((L167+M167+N167+P167)/11)-IF(가정!$C$11="정식통관",I167*가정!$C$12,0))</f>
        <v/>
      </c>
      <c r="R167" s="9">
        <f>G167+H167-I167-L167-M167-N167-P167-Q167</f>
        <v/>
      </c>
      <c r="S167" s="9">
        <f>MAX(0,R167)*가정!$C$7</f>
        <v/>
      </c>
      <c r="T167" s="9">
        <f>G167*가정!$C$17</f>
        <v/>
      </c>
      <c r="U167" s="9">
        <f>R167-S167-T167</f>
        <v/>
      </c>
      <c r="V167" s="12">
        <f>IF(G167=0,"",U167/G167)</f>
        <v/>
      </c>
      <c r="X167" s="7" t="n"/>
      <c r="Y167" s="7" t="n"/>
      <c r="Z167" s="7" t="n"/>
      <c r="AA167" s="13" t="n"/>
      <c r="AB167" s="13" t="n"/>
      <c r="AC167" s="14" t="n"/>
      <c r="AD167" s="14" t="n"/>
      <c r="AE167" s="13" t="n"/>
      <c r="AF167" s="15">
        <f>IF((1-K167-가정!$C$16-가정!$C$17-가정!$C$27-1/11)&lt;=0,"",IFERROR((I167+L167+M167)/(1-K167-가정!$C$16-가정!$C$17-가정!$C$27-1/11),""))</f>
        <v/>
      </c>
      <c r="AG167" s="15">
        <f>IF(OR(AA167="",AF167=""),"",AA167-AF167)</f>
        <v/>
      </c>
      <c r="AH167" s="16">
        <f>IF(G167="","",IFERROR((IF(AE167="",0,가정!$C$31*MIN(1,LOG(AE167+1)/LOG(가정!$C$30)))+IF(AB167="",0,가정!$C$32*(MAX(0,1-AB167/가정!$C$29)*0.6+AC167*0.4))+IF(AD167="",0,가정!$C$33*MAX(0,1-AD167))+IF(V167="",0,가정!$C$34*MIN(1,MAX(0,(V167-가정!$C$27)/(가정!$C$28-가정!$C$27)))))/(IF(AE167="",0,가정!$C$31)+IF(AB167="",0,가정!$C$32)+IF(AD167="",0,가정!$C$33)+IF(V167="",0,가정!$C$34))*100,""))</f>
        <v/>
      </c>
      <c r="AI167" s="17">
        <f>IF(AH167="","",IF(U167&lt;=0,"역마진",IF(AH167&gt;=가정!$C$35,"GO",IF(AH167&gt;=가정!$C$36,"검토","SKIP"))))</f>
        <v/>
      </c>
    </row>
    <row r="168">
      <c r="B168" s="6" t="n">
        <v>161</v>
      </c>
      <c r="C168" s="7" t="n"/>
      <c r="E168" s="7" t="n"/>
      <c r="F168" s="7" t="n"/>
      <c r="G168" s="8" t="n"/>
      <c r="H168" s="8" t="n">
        <v>0</v>
      </c>
      <c r="I168" s="9">
        <f>J168*가정!$C$10</f>
        <v/>
      </c>
      <c r="J168" s="10" t="n"/>
      <c r="K168" s="11">
        <f>가정!$C$14</f>
        <v/>
      </c>
      <c r="L168" s="8" t="n"/>
      <c r="M168" s="8" t="n"/>
      <c r="N168" s="9">
        <f>IF(가정!$C$25="Y",가정!$C$24,G168*가정!$C$16)</f>
        <v/>
      </c>
      <c r="P168" s="9">
        <f>(G168*K168)+(H168*가정!$C$15)</f>
        <v/>
      </c>
      <c r="Q168" s="9">
        <f>IF(가정!$C$5="간이과세",(G168+H168)*0.015,(G168+H168)/11-((L168+M168+N168+P168)/11)-IF(가정!$C$11="정식통관",I168*가정!$C$12,0))</f>
        <v/>
      </c>
      <c r="R168" s="9">
        <f>G168+H168-I168-L168-M168-N168-P168-Q168</f>
        <v/>
      </c>
      <c r="S168" s="9">
        <f>MAX(0,R168)*가정!$C$7</f>
        <v/>
      </c>
      <c r="T168" s="9">
        <f>G168*가정!$C$17</f>
        <v/>
      </c>
      <c r="U168" s="9">
        <f>R168-S168-T168</f>
        <v/>
      </c>
      <c r="V168" s="12">
        <f>IF(G168=0,"",U168/G168)</f>
        <v/>
      </c>
      <c r="X168" s="7" t="n"/>
      <c r="Y168" s="7" t="n"/>
      <c r="Z168" s="7" t="n"/>
      <c r="AA168" s="13" t="n"/>
      <c r="AB168" s="13" t="n"/>
      <c r="AC168" s="14" t="n"/>
      <c r="AD168" s="14" t="n"/>
      <c r="AE168" s="13" t="n"/>
      <c r="AF168" s="15">
        <f>IF((1-K168-가정!$C$16-가정!$C$17-가정!$C$27-1/11)&lt;=0,"",IFERROR((I168+L168+M168)/(1-K168-가정!$C$16-가정!$C$17-가정!$C$27-1/11),""))</f>
        <v/>
      </c>
      <c r="AG168" s="15">
        <f>IF(OR(AA168="",AF168=""),"",AA168-AF168)</f>
        <v/>
      </c>
      <c r="AH168" s="16">
        <f>IF(G168="","",IFERROR((IF(AE168="",0,가정!$C$31*MIN(1,LOG(AE168+1)/LOG(가정!$C$30)))+IF(AB168="",0,가정!$C$32*(MAX(0,1-AB168/가정!$C$29)*0.6+AC168*0.4))+IF(AD168="",0,가정!$C$33*MAX(0,1-AD168))+IF(V168="",0,가정!$C$34*MIN(1,MAX(0,(V168-가정!$C$27)/(가정!$C$28-가정!$C$27)))))/(IF(AE168="",0,가정!$C$31)+IF(AB168="",0,가정!$C$32)+IF(AD168="",0,가정!$C$33)+IF(V168="",0,가정!$C$34))*100,""))</f>
        <v/>
      </c>
      <c r="AI168" s="17">
        <f>IF(AH168="","",IF(U168&lt;=0,"역마진",IF(AH168&gt;=가정!$C$35,"GO",IF(AH168&gt;=가정!$C$36,"검토","SKIP"))))</f>
        <v/>
      </c>
    </row>
    <row r="169">
      <c r="B169" s="6" t="n">
        <v>162</v>
      </c>
      <c r="C169" s="7" t="n"/>
      <c r="E169" s="7" t="n"/>
      <c r="F169" s="7" t="n"/>
      <c r="G169" s="8" t="n"/>
      <c r="H169" s="8" t="n">
        <v>0</v>
      </c>
      <c r="I169" s="9">
        <f>J169*가정!$C$10</f>
        <v/>
      </c>
      <c r="J169" s="10" t="n"/>
      <c r="K169" s="11">
        <f>가정!$C$14</f>
        <v/>
      </c>
      <c r="L169" s="8" t="n"/>
      <c r="M169" s="8" t="n"/>
      <c r="N169" s="9">
        <f>IF(가정!$C$25="Y",가정!$C$24,G169*가정!$C$16)</f>
        <v/>
      </c>
      <c r="P169" s="9">
        <f>(G169*K169)+(H169*가정!$C$15)</f>
        <v/>
      </c>
      <c r="Q169" s="9">
        <f>IF(가정!$C$5="간이과세",(G169+H169)*0.015,(G169+H169)/11-((L169+M169+N169+P169)/11)-IF(가정!$C$11="정식통관",I169*가정!$C$12,0))</f>
        <v/>
      </c>
      <c r="R169" s="9">
        <f>G169+H169-I169-L169-M169-N169-P169-Q169</f>
        <v/>
      </c>
      <c r="S169" s="9">
        <f>MAX(0,R169)*가정!$C$7</f>
        <v/>
      </c>
      <c r="T169" s="9">
        <f>G169*가정!$C$17</f>
        <v/>
      </c>
      <c r="U169" s="9">
        <f>R169-S169-T169</f>
        <v/>
      </c>
      <c r="V169" s="12">
        <f>IF(G169=0,"",U169/G169)</f>
        <v/>
      </c>
      <c r="X169" s="7" t="n"/>
      <c r="Y169" s="7" t="n"/>
      <c r="Z169" s="7" t="n"/>
      <c r="AA169" s="13" t="n"/>
      <c r="AB169" s="13" t="n"/>
      <c r="AC169" s="14" t="n"/>
      <c r="AD169" s="14" t="n"/>
      <c r="AE169" s="13" t="n"/>
      <c r="AF169" s="15">
        <f>IF((1-K169-가정!$C$16-가정!$C$17-가정!$C$27-1/11)&lt;=0,"",IFERROR((I169+L169+M169)/(1-K169-가정!$C$16-가정!$C$17-가정!$C$27-1/11),""))</f>
        <v/>
      </c>
      <c r="AG169" s="15">
        <f>IF(OR(AA169="",AF169=""),"",AA169-AF169)</f>
        <v/>
      </c>
      <c r="AH169" s="16">
        <f>IF(G169="","",IFERROR((IF(AE169="",0,가정!$C$31*MIN(1,LOG(AE169+1)/LOG(가정!$C$30)))+IF(AB169="",0,가정!$C$32*(MAX(0,1-AB169/가정!$C$29)*0.6+AC169*0.4))+IF(AD169="",0,가정!$C$33*MAX(0,1-AD169))+IF(V169="",0,가정!$C$34*MIN(1,MAX(0,(V169-가정!$C$27)/(가정!$C$28-가정!$C$27)))))/(IF(AE169="",0,가정!$C$31)+IF(AB169="",0,가정!$C$32)+IF(AD169="",0,가정!$C$33)+IF(V169="",0,가정!$C$34))*100,""))</f>
        <v/>
      </c>
      <c r="AI169" s="17">
        <f>IF(AH169="","",IF(U169&lt;=0,"역마진",IF(AH169&gt;=가정!$C$35,"GO",IF(AH169&gt;=가정!$C$36,"검토","SKIP"))))</f>
        <v/>
      </c>
    </row>
    <row r="170">
      <c r="B170" s="6" t="n">
        <v>163</v>
      </c>
      <c r="C170" s="7" t="n"/>
      <c r="E170" s="7" t="n"/>
      <c r="F170" s="7" t="n"/>
      <c r="G170" s="8" t="n"/>
      <c r="H170" s="8" t="n">
        <v>0</v>
      </c>
      <c r="I170" s="9">
        <f>J170*가정!$C$10</f>
        <v/>
      </c>
      <c r="J170" s="10" t="n"/>
      <c r="K170" s="11">
        <f>가정!$C$14</f>
        <v/>
      </c>
      <c r="L170" s="8" t="n"/>
      <c r="M170" s="8" t="n"/>
      <c r="N170" s="9">
        <f>IF(가정!$C$25="Y",가정!$C$24,G170*가정!$C$16)</f>
        <v/>
      </c>
      <c r="P170" s="9">
        <f>(G170*K170)+(H170*가정!$C$15)</f>
        <v/>
      </c>
      <c r="Q170" s="9">
        <f>IF(가정!$C$5="간이과세",(G170+H170)*0.015,(G170+H170)/11-((L170+M170+N170+P170)/11)-IF(가정!$C$11="정식통관",I170*가정!$C$12,0))</f>
        <v/>
      </c>
      <c r="R170" s="9">
        <f>G170+H170-I170-L170-M170-N170-P170-Q170</f>
        <v/>
      </c>
      <c r="S170" s="9">
        <f>MAX(0,R170)*가정!$C$7</f>
        <v/>
      </c>
      <c r="T170" s="9">
        <f>G170*가정!$C$17</f>
        <v/>
      </c>
      <c r="U170" s="9">
        <f>R170-S170-T170</f>
        <v/>
      </c>
      <c r="V170" s="12">
        <f>IF(G170=0,"",U170/G170)</f>
        <v/>
      </c>
      <c r="X170" s="7" t="n"/>
      <c r="Y170" s="7" t="n"/>
      <c r="Z170" s="7" t="n"/>
      <c r="AA170" s="13" t="n"/>
      <c r="AB170" s="13" t="n"/>
      <c r="AC170" s="14" t="n"/>
      <c r="AD170" s="14" t="n"/>
      <c r="AE170" s="13" t="n"/>
      <c r="AF170" s="15">
        <f>IF((1-K170-가정!$C$16-가정!$C$17-가정!$C$27-1/11)&lt;=0,"",IFERROR((I170+L170+M170)/(1-K170-가정!$C$16-가정!$C$17-가정!$C$27-1/11),""))</f>
        <v/>
      </c>
      <c r="AG170" s="15">
        <f>IF(OR(AA170="",AF170=""),"",AA170-AF170)</f>
        <v/>
      </c>
      <c r="AH170" s="16">
        <f>IF(G170="","",IFERROR((IF(AE170="",0,가정!$C$31*MIN(1,LOG(AE170+1)/LOG(가정!$C$30)))+IF(AB170="",0,가정!$C$32*(MAX(0,1-AB170/가정!$C$29)*0.6+AC170*0.4))+IF(AD170="",0,가정!$C$33*MAX(0,1-AD170))+IF(V170="",0,가정!$C$34*MIN(1,MAX(0,(V170-가정!$C$27)/(가정!$C$28-가정!$C$27)))))/(IF(AE170="",0,가정!$C$31)+IF(AB170="",0,가정!$C$32)+IF(AD170="",0,가정!$C$33)+IF(V170="",0,가정!$C$34))*100,""))</f>
        <v/>
      </c>
      <c r="AI170" s="17">
        <f>IF(AH170="","",IF(U170&lt;=0,"역마진",IF(AH170&gt;=가정!$C$35,"GO",IF(AH170&gt;=가정!$C$36,"검토","SKIP"))))</f>
        <v/>
      </c>
    </row>
    <row r="171">
      <c r="B171" s="6" t="n">
        <v>164</v>
      </c>
      <c r="C171" s="7" t="n"/>
      <c r="E171" s="7" t="n"/>
      <c r="F171" s="7" t="n"/>
      <c r="G171" s="8" t="n"/>
      <c r="H171" s="8" t="n">
        <v>0</v>
      </c>
      <c r="I171" s="9">
        <f>J171*가정!$C$10</f>
        <v/>
      </c>
      <c r="J171" s="10" t="n"/>
      <c r="K171" s="11">
        <f>가정!$C$14</f>
        <v/>
      </c>
      <c r="L171" s="8" t="n"/>
      <c r="M171" s="8" t="n"/>
      <c r="N171" s="9">
        <f>IF(가정!$C$25="Y",가정!$C$24,G171*가정!$C$16)</f>
        <v/>
      </c>
      <c r="P171" s="9">
        <f>(G171*K171)+(H171*가정!$C$15)</f>
        <v/>
      </c>
      <c r="Q171" s="9">
        <f>IF(가정!$C$5="간이과세",(G171+H171)*0.015,(G171+H171)/11-((L171+M171+N171+P171)/11)-IF(가정!$C$11="정식통관",I171*가정!$C$12,0))</f>
        <v/>
      </c>
      <c r="R171" s="9">
        <f>G171+H171-I171-L171-M171-N171-P171-Q171</f>
        <v/>
      </c>
      <c r="S171" s="9">
        <f>MAX(0,R171)*가정!$C$7</f>
        <v/>
      </c>
      <c r="T171" s="9">
        <f>G171*가정!$C$17</f>
        <v/>
      </c>
      <c r="U171" s="9">
        <f>R171-S171-T171</f>
        <v/>
      </c>
      <c r="V171" s="12">
        <f>IF(G171=0,"",U171/G171)</f>
        <v/>
      </c>
      <c r="X171" s="7" t="n"/>
      <c r="Y171" s="7" t="n"/>
      <c r="Z171" s="7" t="n"/>
      <c r="AA171" s="13" t="n"/>
      <c r="AB171" s="13" t="n"/>
      <c r="AC171" s="14" t="n"/>
      <c r="AD171" s="14" t="n"/>
      <c r="AE171" s="13" t="n"/>
      <c r="AF171" s="15">
        <f>IF((1-K171-가정!$C$16-가정!$C$17-가정!$C$27-1/11)&lt;=0,"",IFERROR((I171+L171+M171)/(1-K171-가정!$C$16-가정!$C$17-가정!$C$27-1/11),""))</f>
        <v/>
      </c>
      <c r="AG171" s="15">
        <f>IF(OR(AA171="",AF171=""),"",AA171-AF171)</f>
        <v/>
      </c>
      <c r="AH171" s="16">
        <f>IF(G171="","",IFERROR((IF(AE171="",0,가정!$C$31*MIN(1,LOG(AE171+1)/LOG(가정!$C$30)))+IF(AB171="",0,가정!$C$32*(MAX(0,1-AB171/가정!$C$29)*0.6+AC171*0.4))+IF(AD171="",0,가정!$C$33*MAX(0,1-AD171))+IF(V171="",0,가정!$C$34*MIN(1,MAX(0,(V171-가정!$C$27)/(가정!$C$28-가정!$C$27)))))/(IF(AE171="",0,가정!$C$31)+IF(AB171="",0,가정!$C$32)+IF(AD171="",0,가정!$C$33)+IF(V171="",0,가정!$C$34))*100,""))</f>
        <v/>
      </c>
      <c r="AI171" s="17">
        <f>IF(AH171="","",IF(U171&lt;=0,"역마진",IF(AH171&gt;=가정!$C$35,"GO",IF(AH171&gt;=가정!$C$36,"검토","SKIP"))))</f>
        <v/>
      </c>
    </row>
    <row r="172">
      <c r="B172" s="6" t="n">
        <v>165</v>
      </c>
      <c r="C172" s="7" t="n"/>
      <c r="E172" s="7" t="n"/>
      <c r="F172" s="7" t="n"/>
      <c r="G172" s="8" t="n"/>
      <c r="H172" s="8" t="n">
        <v>0</v>
      </c>
      <c r="I172" s="9">
        <f>J172*가정!$C$10</f>
        <v/>
      </c>
      <c r="J172" s="10" t="n"/>
      <c r="K172" s="11">
        <f>가정!$C$14</f>
        <v/>
      </c>
      <c r="L172" s="8" t="n"/>
      <c r="M172" s="8" t="n"/>
      <c r="N172" s="9">
        <f>IF(가정!$C$25="Y",가정!$C$24,G172*가정!$C$16)</f>
        <v/>
      </c>
      <c r="P172" s="9">
        <f>(G172*K172)+(H172*가정!$C$15)</f>
        <v/>
      </c>
      <c r="Q172" s="9">
        <f>IF(가정!$C$5="간이과세",(G172+H172)*0.015,(G172+H172)/11-((L172+M172+N172+P172)/11)-IF(가정!$C$11="정식통관",I172*가정!$C$12,0))</f>
        <v/>
      </c>
      <c r="R172" s="9">
        <f>G172+H172-I172-L172-M172-N172-P172-Q172</f>
        <v/>
      </c>
      <c r="S172" s="9">
        <f>MAX(0,R172)*가정!$C$7</f>
        <v/>
      </c>
      <c r="T172" s="9">
        <f>G172*가정!$C$17</f>
        <v/>
      </c>
      <c r="U172" s="9">
        <f>R172-S172-T172</f>
        <v/>
      </c>
      <c r="V172" s="12">
        <f>IF(G172=0,"",U172/G172)</f>
        <v/>
      </c>
      <c r="X172" s="7" t="n"/>
      <c r="Y172" s="7" t="n"/>
      <c r="Z172" s="7" t="n"/>
      <c r="AA172" s="13" t="n"/>
      <c r="AB172" s="13" t="n"/>
      <c r="AC172" s="14" t="n"/>
      <c r="AD172" s="14" t="n"/>
      <c r="AE172" s="13" t="n"/>
      <c r="AF172" s="15">
        <f>IF((1-K172-가정!$C$16-가정!$C$17-가정!$C$27-1/11)&lt;=0,"",IFERROR((I172+L172+M172)/(1-K172-가정!$C$16-가정!$C$17-가정!$C$27-1/11),""))</f>
        <v/>
      </c>
      <c r="AG172" s="15">
        <f>IF(OR(AA172="",AF172=""),"",AA172-AF172)</f>
        <v/>
      </c>
      <c r="AH172" s="16">
        <f>IF(G172="","",IFERROR((IF(AE172="",0,가정!$C$31*MIN(1,LOG(AE172+1)/LOG(가정!$C$30)))+IF(AB172="",0,가정!$C$32*(MAX(0,1-AB172/가정!$C$29)*0.6+AC172*0.4))+IF(AD172="",0,가정!$C$33*MAX(0,1-AD172))+IF(V172="",0,가정!$C$34*MIN(1,MAX(0,(V172-가정!$C$27)/(가정!$C$28-가정!$C$27)))))/(IF(AE172="",0,가정!$C$31)+IF(AB172="",0,가정!$C$32)+IF(AD172="",0,가정!$C$33)+IF(V172="",0,가정!$C$34))*100,""))</f>
        <v/>
      </c>
      <c r="AI172" s="17">
        <f>IF(AH172="","",IF(U172&lt;=0,"역마진",IF(AH172&gt;=가정!$C$35,"GO",IF(AH172&gt;=가정!$C$36,"검토","SKIP"))))</f>
        <v/>
      </c>
    </row>
    <row r="173">
      <c r="B173" s="6" t="n">
        <v>166</v>
      </c>
      <c r="C173" s="7" t="n"/>
      <c r="E173" s="7" t="n"/>
      <c r="F173" s="7" t="n"/>
      <c r="G173" s="8" t="n"/>
      <c r="H173" s="8" t="n">
        <v>0</v>
      </c>
      <c r="I173" s="9">
        <f>J173*가정!$C$10</f>
        <v/>
      </c>
      <c r="J173" s="10" t="n"/>
      <c r="K173" s="11">
        <f>가정!$C$14</f>
        <v/>
      </c>
      <c r="L173" s="8" t="n"/>
      <c r="M173" s="8" t="n"/>
      <c r="N173" s="9">
        <f>IF(가정!$C$25="Y",가정!$C$24,G173*가정!$C$16)</f>
        <v/>
      </c>
      <c r="P173" s="9">
        <f>(G173*K173)+(H173*가정!$C$15)</f>
        <v/>
      </c>
      <c r="Q173" s="9">
        <f>IF(가정!$C$5="간이과세",(G173+H173)*0.015,(G173+H173)/11-((L173+M173+N173+P173)/11)-IF(가정!$C$11="정식통관",I173*가정!$C$12,0))</f>
        <v/>
      </c>
      <c r="R173" s="9">
        <f>G173+H173-I173-L173-M173-N173-P173-Q173</f>
        <v/>
      </c>
      <c r="S173" s="9">
        <f>MAX(0,R173)*가정!$C$7</f>
        <v/>
      </c>
      <c r="T173" s="9">
        <f>G173*가정!$C$17</f>
        <v/>
      </c>
      <c r="U173" s="9">
        <f>R173-S173-T173</f>
        <v/>
      </c>
      <c r="V173" s="12">
        <f>IF(G173=0,"",U173/G173)</f>
        <v/>
      </c>
      <c r="X173" s="7" t="n"/>
      <c r="Y173" s="7" t="n"/>
      <c r="Z173" s="7" t="n"/>
      <c r="AA173" s="13" t="n"/>
      <c r="AB173" s="13" t="n"/>
      <c r="AC173" s="14" t="n"/>
      <c r="AD173" s="14" t="n"/>
      <c r="AE173" s="13" t="n"/>
      <c r="AF173" s="15">
        <f>IF((1-K173-가정!$C$16-가정!$C$17-가정!$C$27-1/11)&lt;=0,"",IFERROR((I173+L173+M173)/(1-K173-가정!$C$16-가정!$C$17-가정!$C$27-1/11),""))</f>
        <v/>
      </c>
      <c r="AG173" s="15">
        <f>IF(OR(AA173="",AF173=""),"",AA173-AF173)</f>
        <v/>
      </c>
      <c r="AH173" s="16">
        <f>IF(G173="","",IFERROR((IF(AE173="",0,가정!$C$31*MIN(1,LOG(AE173+1)/LOG(가정!$C$30)))+IF(AB173="",0,가정!$C$32*(MAX(0,1-AB173/가정!$C$29)*0.6+AC173*0.4))+IF(AD173="",0,가정!$C$33*MAX(0,1-AD173))+IF(V173="",0,가정!$C$34*MIN(1,MAX(0,(V173-가정!$C$27)/(가정!$C$28-가정!$C$27)))))/(IF(AE173="",0,가정!$C$31)+IF(AB173="",0,가정!$C$32)+IF(AD173="",0,가정!$C$33)+IF(V173="",0,가정!$C$34))*100,""))</f>
        <v/>
      </c>
      <c r="AI173" s="17">
        <f>IF(AH173="","",IF(U173&lt;=0,"역마진",IF(AH173&gt;=가정!$C$35,"GO",IF(AH173&gt;=가정!$C$36,"검토","SKIP"))))</f>
        <v/>
      </c>
    </row>
    <row r="174">
      <c r="B174" s="6" t="n">
        <v>167</v>
      </c>
      <c r="C174" s="7" t="n"/>
      <c r="E174" s="7" t="n"/>
      <c r="F174" s="7" t="n"/>
      <c r="G174" s="8" t="n"/>
      <c r="H174" s="8" t="n">
        <v>0</v>
      </c>
      <c r="I174" s="9">
        <f>J174*가정!$C$10</f>
        <v/>
      </c>
      <c r="J174" s="10" t="n"/>
      <c r="K174" s="11">
        <f>가정!$C$14</f>
        <v/>
      </c>
      <c r="L174" s="8" t="n"/>
      <c r="M174" s="8" t="n"/>
      <c r="N174" s="9">
        <f>IF(가정!$C$25="Y",가정!$C$24,G174*가정!$C$16)</f>
        <v/>
      </c>
      <c r="P174" s="9">
        <f>(G174*K174)+(H174*가정!$C$15)</f>
        <v/>
      </c>
      <c r="Q174" s="9">
        <f>IF(가정!$C$5="간이과세",(G174+H174)*0.015,(G174+H174)/11-((L174+M174+N174+P174)/11)-IF(가정!$C$11="정식통관",I174*가정!$C$12,0))</f>
        <v/>
      </c>
      <c r="R174" s="9">
        <f>G174+H174-I174-L174-M174-N174-P174-Q174</f>
        <v/>
      </c>
      <c r="S174" s="9">
        <f>MAX(0,R174)*가정!$C$7</f>
        <v/>
      </c>
      <c r="T174" s="9">
        <f>G174*가정!$C$17</f>
        <v/>
      </c>
      <c r="U174" s="9">
        <f>R174-S174-T174</f>
        <v/>
      </c>
      <c r="V174" s="12">
        <f>IF(G174=0,"",U174/G174)</f>
        <v/>
      </c>
      <c r="X174" s="7" t="n"/>
      <c r="Y174" s="7" t="n"/>
      <c r="Z174" s="7" t="n"/>
      <c r="AA174" s="13" t="n"/>
      <c r="AB174" s="13" t="n"/>
      <c r="AC174" s="14" t="n"/>
      <c r="AD174" s="14" t="n"/>
      <c r="AE174" s="13" t="n"/>
      <c r="AF174" s="15">
        <f>IF((1-K174-가정!$C$16-가정!$C$17-가정!$C$27-1/11)&lt;=0,"",IFERROR((I174+L174+M174)/(1-K174-가정!$C$16-가정!$C$17-가정!$C$27-1/11),""))</f>
        <v/>
      </c>
      <c r="AG174" s="15">
        <f>IF(OR(AA174="",AF174=""),"",AA174-AF174)</f>
        <v/>
      </c>
      <c r="AH174" s="16">
        <f>IF(G174="","",IFERROR((IF(AE174="",0,가정!$C$31*MIN(1,LOG(AE174+1)/LOG(가정!$C$30)))+IF(AB174="",0,가정!$C$32*(MAX(0,1-AB174/가정!$C$29)*0.6+AC174*0.4))+IF(AD174="",0,가정!$C$33*MAX(0,1-AD174))+IF(V174="",0,가정!$C$34*MIN(1,MAX(0,(V174-가정!$C$27)/(가정!$C$28-가정!$C$27)))))/(IF(AE174="",0,가정!$C$31)+IF(AB174="",0,가정!$C$32)+IF(AD174="",0,가정!$C$33)+IF(V174="",0,가정!$C$34))*100,""))</f>
        <v/>
      </c>
      <c r="AI174" s="17">
        <f>IF(AH174="","",IF(U174&lt;=0,"역마진",IF(AH174&gt;=가정!$C$35,"GO",IF(AH174&gt;=가정!$C$36,"검토","SKIP"))))</f>
        <v/>
      </c>
    </row>
    <row r="175">
      <c r="B175" s="6" t="n">
        <v>168</v>
      </c>
      <c r="C175" s="7" t="n"/>
      <c r="E175" s="7" t="n"/>
      <c r="F175" s="7" t="n"/>
      <c r="G175" s="8" t="n"/>
      <c r="H175" s="8" t="n">
        <v>0</v>
      </c>
      <c r="I175" s="9">
        <f>J175*가정!$C$10</f>
        <v/>
      </c>
      <c r="J175" s="10" t="n"/>
      <c r="K175" s="11">
        <f>가정!$C$14</f>
        <v/>
      </c>
      <c r="L175" s="8" t="n"/>
      <c r="M175" s="8" t="n"/>
      <c r="N175" s="9">
        <f>IF(가정!$C$25="Y",가정!$C$24,G175*가정!$C$16)</f>
        <v/>
      </c>
      <c r="P175" s="9">
        <f>(G175*K175)+(H175*가정!$C$15)</f>
        <v/>
      </c>
      <c r="Q175" s="9">
        <f>IF(가정!$C$5="간이과세",(G175+H175)*0.015,(G175+H175)/11-((L175+M175+N175+P175)/11)-IF(가정!$C$11="정식통관",I175*가정!$C$12,0))</f>
        <v/>
      </c>
      <c r="R175" s="9">
        <f>G175+H175-I175-L175-M175-N175-P175-Q175</f>
        <v/>
      </c>
      <c r="S175" s="9">
        <f>MAX(0,R175)*가정!$C$7</f>
        <v/>
      </c>
      <c r="T175" s="9">
        <f>G175*가정!$C$17</f>
        <v/>
      </c>
      <c r="U175" s="9">
        <f>R175-S175-T175</f>
        <v/>
      </c>
      <c r="V175" s="12">
        <f>IF(G175=0,"",U175/G175)</f>
        <v/>
      </c>
      <c r="X175" s="7" t="n"/>
      <c r="Y175" s="7" t="n"/>
      <c r="Z175" s="7" t="n"/>
      <c r="AA175" s="13" t="n"/>
      <c r="AB175" s="13" t="n"/>
      <c r="AC175" s="14" t="n"/>
      <c r="AD175" s="14" t="n"/>
      <c r="AE175" s="13" t="n"/>
      <c r="AF175" s="15">
        <f>IF((1-K175-가정!$C$16-가정!$C$17-가정!$C$27-1/11)&lt;=0,"",IFERROR((I175+L175+M175)/(1-K175-가정!$C$16-가정!$C$17-가정!$C$27-1/11),""))</f>
        <v/>
      </c>
      <c r="AG175" s="15">
        <f>IF(OR(AA175="",AF175=""),"",AA175-AF175)</f>
        <v/>
      </c>
      <c r="AH175" s="16">
        <f>IF(G175="","",IFERROR((IF(AE175="",0,가정!$C$31*MIN(1,LOG(AE175+1)/LOG(가정!$C$30)))+IF(AB175="",0,가정!$C$32*(MAX(0,1-AB175/가정!$C$29)*0.6+AC175*0.4))+IF(AD175="",0,가정!$C$33*MAX(0,1-AD175))+IF(V175="",0,가정!$C$34*MIN(1,MAX(0,(V175-가정!$C$27)/(가정!$C$28-가정!$C$27)))))/(IF(AE175="",0,가정!$C$31)+IF(AB175="",0,가정!$C$32)+IF(AD175="",0,가정!$C$33)+IF(V175="",0,가정!$C$34))*100,""))</f>
        <v/>
      </c>
      <c r="AI175" s="17">
        <f>IF(AH175="","",IF(U175&lt;=0,"역마진",IF(AH175&gt;=가정!$C$35,"GO",IF(AH175&gt;=가정!$C$36,"검토","SKIP"))))</f>
        <v/>
      </c>
    </row>
    <row r="176">
      <c r="B176" s="6" t="n">
        <v>169</v>
      </c>
      <c r="C176" s="7" t="n"/>
      <c r="E176" s="7" t="n"/>
      <c r="F176" s="7" t="n"/>
      <c r="G176" s="8" t="n"/>
      <c r="H176" s="8" t="n">
        <v>0</v>
      </c>
      <c r="I176" s="9">
        <f>J176*가정!$C$10</f>
        <v/>
      </c>
      <c r="J176" s="10" t="n"/>
      <c r="K176" s="11">
        <f>가정!$C$14</f>
        <v/>
      </c>
      <c r="L176" s="8" t="n"/>
      <c r="M176" s="8" t="n"/>
      <c r="N176" s="9">
        <f>IF(가정!$C$25="Y",가정!$C$24,G176*가정!$C$16)</f>
        <v/>
      </c>
      <c r="P176" s="9">
        <f>(G176*K176)+(H176*가정!$C$15)</f>
        <v/>
      </c>
      <c r="Q176" s="9">
        <f>IF(가정!$C$5="간이과세",(G176+H176)*0.015,(G176+H176)/11-((L176+M176+N176+P176)/11)-IF(가정!$C$11="정식통관",I176*가정!$C$12,0))</f>
        <v/>
      </c>
      <c r="R176" s="9">
        <f>G176+H176-I176-L176-M176-N176-P176-Q176</f>
        <v/>
      </c>
      <c r="S176" s="9">
        <f>MAX(0,R176)*가정!$C$7</f>
        <v/>
      </c>
      <c r="T176" s="9">
        <f>G176*가정!$C$17</f>
        <v/>
      </c>
      <c r="U176" s="9">
        <f>R176-S176-T176</f>
        <v/>
      </c>
      <c r="V176" s="12">
        <f>IF(G176=0,"",U176/G176)</f>
        <v/>
      </c>
      <c r="X176" s="7" t="n"/>
      <c r="Y176" s="7" t="n"/>
      <c r="Z176" s="7" t="n"/>
      <c r="AA176" s="13" t="n"/>
      <c r="AB176" s="13" t="n"/>
      <c r="AC176" s="14" t="n"/>
      <c r="AD176" s="14" t="n"/>
      <c r="AE176" s="13" t="n"/>
      <c r="AF176" s="15">
        <f>IF((1-K176-가정!$C$16-가정!$C$17-가정!$C$27-1/11)&lt;=0,"",IFERROR((I176+L176+M176)/(1-K176-가정!$C$16-가정!$C$17-가정!$C$27-1/11),""))</f>
        <v/>
      </c>
      <c r="AG176" s="15">
        <f>IF(OR(AA176="",AF176=""),"",AA176-AF176)</f>
        <v/>
      </c>
      <c r="AH176" s="16">
        <f>IF(G176="","",IFERROR((IF(AE176="",0,가정!$C$31*MIN(1,LOG(AE176+1)/LOG(가정!$C$30)))+IF(AB176="",0,가정!$C$32*(MAX(0,1-AB176/가정!$C$29)*0.6+AC176*0.4))+IF(AD176="",0,가정!$C$33*MAX(0,1-AD176))+IF(V176="",0,가정!$C$34*MIN(1,MAX(0,(V176-가정!$C$27)/(가정!$C$28-가정!$C$27)))))/(IF(AE176="",0,가정!$C$31)+IF(AB176="",0,가정!$C$32)+IF(AD176="",0,가정!$C$33)+IF(V176="",0,가정!$C$34))*100,""))</f>
        <v/>
      </c>
      <c r="AI176" s="17">
        <f>IF(AH176="","",IF(U176&lt;=0,"역마진",IF(AH176&gt;=가정!$C$35,"GO",IF(AH176&gt;=가정!$C$36,"검토","SKIP"))))</f>
        <v/>
      </c>
    </row>
    <row r="177">
      <c r="B177" s="6" t="n">
        <v>170</v>
      </c>
      <c r="C177" s="7" t="n"/>
      <c r="E177" s="7" t="n"/>
      <c r="F177" s="7" t="n"/>
      <c r="G177" s="8" t="n"/>
      <c r="H177" s="8" t="n">
        <v>0</v>
      </c>
      <c r="I177" s="9">
        <f>J177*가정!$C$10</f>
        <v/>
      </c>
      <c r="J177" s="10" t="n"/>
      <c r="K177" s="11">
        <f>가정!$C$14</f>
        <v/>
      </c>
      <c r="L177" s="8" t="n"/>
      <c r="M177" s="8" t="n"/>
      <c r="N177" s="9">
        <f>IF(가정!$C$25="Y",가정!$C$24,G177*가정!$C$16)</f>
        <v/>
      </c>
      <c r="P177" s="9">
        <f>(G177*K177)+(H177*가정!$C$15)</f>
        <v/>
      </c>
      <c r="Q177" s="9">
        <f>IF(가정!$C$5="간이과세",(G177+H177)*0.015,(G177+H177)/11-((L177+M177+N177+P177)/11)-IF(가정!$C$11="정식통관",I177*가정!$C$12,0))</f>
        <v/>
      </c>
      <c r="R177" s="9">
        <f>G177+H177-I177-L177-M177-N177-P177-Q177</f>
        <v/>
      </c>
      <c r="S177" s="9">
        <f>MAX(0,R177)*가정!$C$7</f>
        <v/>
      </c>
      <c r="T177" s="9">
        <f>G177*가정!$C$17</f>
        <v/>
      </c>
      <c r="U177" s="9">
        <f>R177-S177-T177</f>
        <v/>
      </c>
      <c r="V177" s="12">
        <f>IF(G177=0,"",U177/G177)</f>
        <v/>
      </c>
      <c r="X177" s="7" t="n"/>
      <c r="Y177" s="7" t="n"/>
      <c r="Z177" s="7" t="n"/>
      <c r="AA177" s="13" t="n"/>
      <c r="AB177" s="13" t="n"/>
      <c r="AC177" s="14" t="n"/>
      <c r="AD177" s="14" t="n"/>
      <c r="AE177" s="13" t="n"/>
      <c r="AF177" s="15">
        <f>IF((1-K177-가정!$C$16-가정!$C$17-가정!$C$27-1/11)&lt;=0,"",IFERROR((I177+L177+M177)/(1-K177-가정!$C$16-가정!$C$17-가정!$C$27-1/11),""))</f>
        <v/>
      </c>
      <c r="AG177" s="15">
        <f>IF(OR(AA177="",AF177=""),"",AA177-AF177)</f>
        <v/>
      </c>
      <c r="AH177" s="16">
        <f>IF(G177="","",IFERROR((IF(AE177="",0,가정!$C$31*MIN(1,LOG(AE177+1)/LOG(가정!$C$30)))+IF(AB177="",0,가정!$C$32*(MAX(0,1-AB177/가정!$C$29)*0.6+AC177*0.4))+IF(AD177="",0,가정!$C$33*MAX(0,1-AD177))+IF(V177="",0,가정!$C$34*MIN(1,MAX(0,(V177-가정!$C$27)/(가정!$C$28-가정!$C$27)))))/(IF(AE177="",0,가정!$C$31)+IF(AB177="",0,가정!$C$32)+IF(AD177="",0,가정!$C$33)+IF(V177="",0,가정!$C$34))*100,""))</f>
        <v/>
      </c>
      <c r="AI177" s="17">
        <f>IF(AH177="","",IF(U177&lt;=0,"역마진",IF(AH177&gt;=가정!$C$35,"GO",IF(AH177&gt;=가정!$C$36,"검토","SKIP"))))</f>
        <v/>
      </c>
    </row>
    <row r="178">
      <c r="B178" s="6" t="n">
        <v>171</v>
      </c>
      <c r="C178" s="7" t="n"/>
      <c r="E178" s="7" t="n"/>
      <c r="F178" s="7" t="n"/>
      <c r="G178" s="8" t="n"/>
      <c r="H178" s="8" t="n">
        <v>0</v>
      </c>
      <c r="I178" s="9">
        <f>J178*가정!$C$10</f>
        <v/>
      </c>
      <c r="J178" s="10" t="n"/>
      <c r="K178" s="11">
        <f>가정!$C$14</f>
        <v/>
      </c>
      <c r="L178" s="8" t="n"/>
      <c r="M178" s="8" t="n"/>
      <c r="N178" s="9">
        <f>IF(가정!$C$25="Y",가정!$C$24,G178*가정!$C$16)</f>
        <v/>
      </c>
      <c r="P178" s="9">
        <f>(G178*K178)+(H178*가정!$C$15)</f>
        <v/>
      </c>
      <c r="Q178" s="9">
        <f>IF(가정!$C$5="간이과세",(G178+H178)*0.015,(G178+H178)/11-((L178+M178+N178+P178)/11)-IF(가정!$C$11="정식통관",I178*가정!$C$12,0))</f>
        <v/>
      </c>
      <c r="R178" s="9">
        <f>G178+H178-I178-L178-M178-N178-P178-Q178</f>
        <v/>
      </c>
      <c r="S178" s="9">
        <f>MAX(0,R178)*가정!$C$7</f>
        <v/>
      </c>
      <c r="T178" s="9">
        <f>G178*가정!$C$17</f>
        <v/>
      </c>
      <c r="U178" s="9">
        <f>R178-S178-T178</f>
        <v/>
      </c>
      <c r="V178" s="12">
        <f>IF(G178=0,"",U178/G178)</f>
        <v/>
      </c>
      <c r="X178" s="7" t="n"/>
      <c r="Y178" s="7" t="n"/>
      <c r="Z178" s="7" t="n"/>
      <c r="AA178" s="13" t="n"/>
      <c r="AB178" s="13" t="n"/>
      <c r="AC178" s="14" t="n"/>
      <c r="AD178" s="14" t="n"/>
      <c r="AE178" s="13" t="n"/>
      <c r="AF178" s="15">
        <f>IF((1-K178-가정!$C$16-가정!$C$17-가정!$C$27-1/11)&lt;=0,"",IFERROR((I178+L178+M178)/(1-K178-가정!$C$16-가정!$C$17-가정!$C$27-1/11),""))</f>
        <v/>
      </c>
      <c r="AG178" s="15">
        <f>IF(OR(AA178="",AF178=""),"",AA178-AF178)</f>
        <v/>
      </c>
      <c r="AH178" s="16">
        <f>IF(G178="","",IFERROR((IF(AE178="",0,가정!$C$31*MIN(1,LOG(AE178+1)/LOG(가정!$C$30)))+IF(AB178="",0,가정!$C$32*(MAX(0,1-AB178/가정!$C$29)*0.6+AC178*0.4))+IF(AD178="",0,가정!$C$33*MAX(0,1-AD178))+IF(V178="",0,가정!$C$34*MIN(1,MAX(0,(V178-가정!$C$27)/(가정!$C$28-가정!$C$27)))))/(IF(AE178="",0,가정!$C$31)+IF(AB178="",0,가정!$C$32)+IF(AD178="",0,가정!$C$33)+IF(V178="",0,가정!$C$34))*100,""))</f>
        <v/>
      </c>
      <c r="AI178" s="17">
        <f>IF(AH178="","",IF(U178&lt;=0,"역마진",IF(AH178&gt;=가정!$C$35,"GO",IF(AH178&gt;=가정!$C$36,"검토","SKIP"))))</f>
        <v/>
      </c>
    </row>
    <row r="179">
      <c r="B179" s="6" t="n">
        <v>172</v>
      </c>
      <c r="C179" s="7" t="n"/>
      <c r="E179" s="7" t="n"/>
      <c r="F179" s="7" t="n"/>
      <c r="G179" s="8" t="n"/>
      <c r="H179" s="8" t="n">
        <v>0</v>
      </c>
      <c r="I179" s="9">
        <f>J179*가정!$C$10</f>
        <v/>
      </c>
      <c r="J179" s="10" t="n"/>
      <c r="K179" s="11">
        <f>가정!$C$14</f>
        <v/>
      </c>
      <c r="L179" s="8" t="n"/>
      <c r="M179" s="8" t="n"/>
      <c r="N179" s="9">
        <f>IF(가정!$C$25="Y",가정!$C$24,G179*가정!$C$16)</f>
        <v/>
      </c>
      <c r="P179" s="9">
        <f>(G179*K179)+(H179*가정!$C$15)</f>
        <v/>
      </c>
      <c r="Q179" s="9">
        <f>IF(가정!$C$5="간이과세",(G179+H179)*0.015,(G179+H179)/11-((L179+M179+N179+P179)/11)-IF(가정!$C$11="정식통관",I179*가정!$C$12,0))</f>
        <v/>
      </c>
      <c r="R179" s="9">
        <f>G179+H179-I179-L179-M179-N179-P179-Q179</f>
        <v/>
      </c>
      <c r="S179" s="9">
        <f>MAX(0,R179)*가정!$C$7</f>
        <v/>
      </c>
      <c r="T179" s="9">
        <f>G179*가정!$C$17</f>
        <v/>
      </c>
      <c r="U179" s="9">
        <f>R179-S179-T179</f>
        <v/>
      </c>
      <c r="V179" s="12">
        <f>IF(G179=0,"",U179/G179)</f>
        <v/>
      </c>
      <c r="X179" s="7" t="n"/>
      <c r="Y179" s="7" t="n"/>
      <c r="Z179" s="7" t="n"/>
      <c r="AA179" s="13" t="n"/>
      <c r="AB179" s="13" t="n"/>
      <c r="AC179" s="14" t="n"/>
      <c r="AD179" s="14" t="n"/>
      <c r="AE179" s="13" t="n"/>
      <c r="AF179" s="15">
        <f>IF((1-K179-가정!$C$16-가정!$C$17-가정!$C$27-1/11)&lt;=0,"",IFERROR((I179+L179+M179)/(1-K179-가정!$C$16-가정!$C$17-가정!$C$27-1/11),""))</f>
        <v/>
      </c>
      <c r="AG179" s="15">
        <f>IF(OR(AA179="",AF179=""),"",AA179-AF179)</f>
        <v/>
      </c>
      <c r="AH179" s="16">
        <f>IF(G179="","",IFERROR((IF(AE179="",0,가정!$C$31*MIN(1,LOG(AE179+1)/LOG(가정!$C$30)))+IF(AB179="",0,가정!$C$32*(MAX(0,1-AB179/가정!$C$29)*0.6+AC179*0.4))+IF(AD179="",0,가정!$C$33*MAX(0,1-AD179))+IF(V179="",0,가정!$C$34*MIN(1,MAX(0,(V179-가정!$C$27)/(가정!$C$28-가정!$C$27)))))/(IF(AE179="",0,가정!$C$31)+IF(AB179="",0,가정!$C$32)+IF(AD179="",0,가정!$C$33)+IF(V179="",0,가정!$C$34))*100,""))</f>
        <v/>
      </c>
      <c r="AI179" s="17">
        <f>IF(AH179="","",IF(U179&lt;=0,"역마진",IF(AH179&gt;=가정!$C$35,"GO",IF(AH179&gt;=가정!$C$36,"검토","SKIP"))))</f>
        <v/>
      </c>
    </row>
    <row r="180">
      <c r="B180" s="6" t="n">
        <v>173</v>
      </c>
      <c r="C180" s="7" t="n"/>
      <c r="E180" s="7" t="n"/>
      <c r="F180" s="7" t="n"/>
      <c r="G180" s="8" t="n"/>
      <c r="H180" s="8" t="n">
        <v>0</v>
      </c>
      <c r="I180" s="9">
        <f>J180*가정!$C$10</f>
        <v/>
      </c>
      <c r="J180" s="10" t="n"/>
      <c r="K180" s="11">
        <f>가정!$C$14</f>
        <v/>
      </c>
      <c r="L180" s="8" t="n"/>
      <c r="M180" s="8" t="n"/>
      <c r="N180" s="9">
        <f>IF(가정!$C$25="Y",가정!$C$24,G180*가정!$C$16)</f>
        <v/>
      </c>
      <c r="P180" s="9">
        <f>(G180*K180)+(H180*가정!$C$15)</f>
        <v/>
      </c>
      <c r="Q180" s="9">
        <f>IF(가정!$C$5="간이과세",(G180+H180)*0.015,(G180+H180)/11-((L180+M180+N180+P180)/11)-IF(가정!$C$11="정식통관",I180*가정!$C$12,0))</f>
        <v/>
      </c>
      <c r="R180" s="9">
        <f>G180+H180-I180-L180-M180-N180-P180-Q180</f>
        <v/>
      </c>
      <c r="S180" s="9">
        <f>MAX(0,R180)*가정!$C$7</f>
        <v/>
      </c>
      <c r="T180" s="9">
        <f>G180*가정!$C$17</f>
        <v/>
      </c>
      <c r="U180" s="9">
        <f>R180-S180-T180</f>
        <v/>
      </c>
      <c r="V180" s="12">
        <f>IF(G180=0,"",U180/G180)</f>
        <v/>
      </c>
      <c r="X180" s="7" t="n"/>
      <c r="Y180" s="7" t="n"/>
      <c r="Z180" s="7" t="n"/>
      <c r="AA180" s="13" t="n"/>
      <c r="AB180" s="13" t="n"/>
      <c r="AC180" s="14" t="n"/>
      <c r="AD180" s="14" t="n"/>
      <c r="AE180" s="13" t="n"/>
      <c r="AF180" s="15">
        <f>IF((1-K180-가정!$C$16-가정!$C$17-가정!$C$27-1/11)&lt;=0,"",IFERROR((I180+L180+M180)/(1-K180-가정!$C$16-가정!$C$17-가정!$C$27-1/11),""))</f>
        <v/>
      </c>
      <c r="AG180" s="15">
        <f>IF(OR(AA180="",AF180=""),"",AA180-AF180)</f>
        <v/>
      </c>
      <c r="AH180" s="16">
        <f>IF(G180="","",IFERROR((IF(AE180="",0,가정!$C$31*MIN(1,LOG(AE180+1)/LOG(가정!$C$30)))+IF(AB180="",0,가정!$C$32*(MAX(0,1-AB180/가정!$C$29)*0.6+AC180*0.4))+IF(AD180="",0,가정!$C$33*MAX(0,1-AD180))+IF(V180="",0,가정!$C$34*MIN(1,MAX(0,(V180-가정!$C$27)/(가정!$C$28-가정!$C$27)))))/(IF(AE180="",0,가정!$C$31)+IF(AB180="",0,가정!$C$32)+IF(AD180="",0,가정!$C$33)+IF(V180="",0,가정!$C$34))*100,""))</f>
        <v/>
      </c>
      <c r="AI180" s="17">
        <f>IF(AH180="","",IF(U180&lt;=0,"역마진",IF(AH180&gt;=가정!$C$35,"GO",IF(AH180&gt;=가정!$C$36,"검토","SKIP"))))</f>
        <v/>
      </c>
    </row>
    <row r="181">
      <c r="B181" s="6" t="n">
        <v>174</v>
      </c>
      <c r="C181" s="7" t="n"/>
      <c r="E181" s="7" t="n"/>
      <c r="F181" s="7" t="n"/>
      <c r="G181" s="8" t="n"/>
      <c r="H181" s="8" t="n">
        <v>0</v>
      </c>
      <c r="I181" s="9">
        <f>J181*가정!$C$10</f>
        <v/>
      </c>
      <c r="J181" s="10" t="n"/>
      <c r="K181" s="11">
        <f>가정!$C$14</f>
        <v/>
      </c>
      <c r="L181" s="8" t="n"/>
      <c r="M181" s="8" t="n"/>
      <c r="N181" s="9">
        <f>IF(가정!$C$25="Y",가정!$C$24,G181*가정!$C$16)</f>
        <v/>
      </c>
      <c r="P181" s="9">
        <f>(G181*K181)+(H181*가정!$C$15)</f>
        <v/>
      </c>
      <c r="Q181" s="9">
        <f>IF(가정!$C$5="간이과세",(G181+H181)*0.015,(G181+H181)/11-((L181+M181+N181+P181)/11)-IF(가정!$C$11="정식통관",I181*가정!$C$12,0))</f>
        <v/>
      </c>
      <c r="R181" s="9">
        <f>G181+H181-I181-L181-M181-N181-P181-Q181</f>
        <v/>
      </c>
      <c r="S181" s="9">
        <f>MAX(0,R181)*가정!$C$7</f>
        <v/>
      </c>
      <c r="T181" s="9">
        <f>G181*가정!$C$17</f>
        <v/>
      </c>
      <c r="U181" s="9">
        <f>R181-S181-T181</f>
        <v/>
      </c>
      <c r="V181" s="12">
        <f>IF(G181=0,"",U181/G181)</f>
        <v/>
      </c>
      <c r="X181" s="7" t="n"/>
      <c r="Y181" s="7" t="n"/>
      <c r="Z181" s="7" t="n"/>
      <c r="AA181" s="13" t="n"/>
      <c r="AB181" s="13" t="n"/>
      <c r="AC181" s="14" t="n"/>
      <c r="AD181" s="14" t="n"/>
      <c r="AE181" s="13" t="n"/>
      <c r="AF181" s="15">
        <f>IF((1-K181-가정!$C$16-가정!$C$17-가정!$C$27-1/11)&lt;=0,"",IFERROR((I181+L181+M181)/(1-K181-가정!$C$16-가정!$C$17-가정!$C$27-1/11),""))</f>
        <v/>
      </c>
      <c r="AG181" s="15">
        <f>IF(OR(AA181="",AF181=""),"",AA181-AF181)</f>
        <v/>
      </c>
      <c r="AH181" s="16">
        <f>IF(G181="","",IFERROR((IF(AE181="",0,가정!$C$31*MIN(1,LOG(AE181+1)/LOG(가정!$C$30)))+IF(AB181="",0,가정!$C$32*(MAX(0,1-AB181/가정!$C$29)*0.6+AC181*0.4))+IF(AD181="",0,가정!$C$33*MAX(0,1-AD181))+IF(V181="",0,가정!$C$34*MIN(1,MAX(0,(V181-가정!$C$27)/(가정!$C$28-가정!$C$27)))))/(IF(AE181="",0,가정!$C$31)+IF(AB181="",0,가정!$C$32)+IF(AD181="",0,가정!$C$33)+IF(V181="",0,가정!$C$34))*100,""))</f>
        <v/>
      </c>
      <c r="AI181" s="17">
        <f>IF(AH181="","",IF(U181&lt;=0,"역마진",IF(AH181&gt;=가정!$C$35,"GO",IF(AH181&gt;=가정!$C$36,"검토","SKIP"))))</f>
        <v/>
      </c>
    </row>
    <row r="182">
      <c r="B182" s="6" t="n">
        <v>175</v>
      </c>
      <c r="C182" s="7" t="n"/>
      <c r="E182" s="7" t="n"/>
      <c r="F182" s="7" t="n"/>
      <c r="G182" s="8" t="n"/>
      <c r="H182" s="8" t="n">
        <v>0</v>
      </c>
      <c r="I182" s="9">
        <f>J182*가정!$C$10</f>
        <v/>
      </c>
      <c r="J182" s="10" t="n"/>
      <c r="K182" s="11">
        <f>가정!$C$14</f>
        <v/>
      </c>
      <c r="L182" s="8" t="n"/>
      <c r="M182" s="8" t="n"/>
      <c r="N182" s="9">
        <f>IF(가정!$C$25="Y",가정!$C$24,G182*가정!$C$16)</f>
        <v/>
      </c>
      <c r="P182" s="9">
        <f>(G182*K182)+(H182*가정!$C$15)</f>
        <v/>
      </c>
      <c r="Q182" s="9">
        <f>IF(가정!$C$5="간이과세",(G182+H182)*0.015,(G182+H182)/11-((L182+M182+N182+P182)/11)-IF(가정!$C$11="정식통관",I182*가정!$C$12,0))</f>
        <v/>
      </c>
      <c r="R182" s="9">
        <f>G182+H182-I182-L182-M182-N182-P182-Q182</f>
        <v/>
      </c>
      <c r="S182" s="9">
        <f>MAX(0,R182)*가정!$C$7</f>
        <v/>
      </c>
      <c r="T182" s="9">
        <f>G182*가정!$C$17</f>
        <v/>
      </c>
      <c r="U182" s="9">
        <f>R182-S182-T182</f>
        <v/>
      </c>
      <c r="V182" s="12">
        <f>IF(G182=0,"",U182/G182)</f>
        <v/>
      </c>
      <c r="X182" s="7" t="n"/>
      <c r="Y182" s="7" t="n"/>
      <c r="Z182" s="7" t="n"/>
      <c r="AA182" s="13" t="n"/>
      <c r="AB182" s="13" t="n"/>
      <c r="AC182" s="14" t="n"/>
      <c r="AD182" s="14" t="n"/>
      <c r="AE182" s="13" t="n"/>
      <c r="AF182" s="15">
        <f>IF((1-K182-가정!$C$16-가정!$C$17-가정!$C$27-1/11)&lt;=0,"",IFERROR((I182+L182+M182)/(1-K182-가정!$C$16-가정!$C$17-가정!$C$27-1/11),""))</f>
        <v/>
      </c>
      <c r="AG182" s="15">
        <f>IF(OR(AA182="",AF182=""),"",AA182-AF182)</f>
        <v/>
      </c>
      <c r="AH182" s="16">
        <f>IF(G182="","",IFERROR((IF(AE182="",0,가정!$C$31*MIN(1,LOG(AE182+1)/LOG(가정!$C$30)))+IF(AB182="",0,가정!$C$32*(MAX(0,1-AB182/가정!$C$29)*0.6+AC182*0.4))+IF(AD182="",0,가정!$C$33*MAX(0,1-AD182))+IF(V182="",0,가정!$C$34*MIN(1,MAX(0,(V182-가정!$C$27)/(가정!$C$28-가정!$C$27)))))/(IF(AE182="",0,가정!$C$31)+IF(AB182="",0,가정!$C$32)+IF(AD182="",0,가정!$C$33)+IF(V182="",0,가정!$C$34))*100,""))</f>
        <v/>
      </c>
      <c r="AI182" s="17">
        <f>IF(AH182="","",IF(U182&lt;=0,"역마진",IF(AH182&gt;=가정!$C$35,"GO",IF(AH182&gt;=가정!$C$36,"검토","SKIP"))))</f>
        <v/>
      </c>
    </row>
    <row r="183">
      <c r="B183" s="6" t="n">
        <v>176</v>
      </c>
      <c r="C183" s="7" t="n"/>
      <c r="E183" s="7" t="n"/>
      <c r="F183" s="7" t="n"/>
      <c r="G183" s="8" t="n"/>
      <c r="H183" s="8" t="n">
        <v>0</v>
      </c>
      <c r="I183" s="9">
        <f>J183*가정!$C$10</f>
        <v/>
      </c>
      <c r="J183" s="10" t="n"/>
      <c r="K183" s="11">
        <f>가정!$C$14</f>
        <v/>
      </c>
      <c r="L183" s="8" t="n"/>
      <c r="M183" s="8" t="n"/>
      <c r="N183" s="9">
        <f>IF(가정!$C$25="Y",가정!$C$24,G183*가정!$C$16)</f>
        <v/>
      </c>
      <c r="P183" s="9">
        <f>(G183*K183)+(H183*가정!$C$15)</f>
        <v/>
      </c>
      <c r="Q183" s="9">
        <f>IF(가정!$C$5="간이과세",(G183+H183)*0.015,(G183+H183)/11-((L183+M183+N183+P183)/11)-IF(가정!$C$11="정식통관",I183*가정!$C$12,0))</f>
        <v/>
      </c>
      <c r="R183" s="9">
        <f>G183+H183-I183-L183-M183-N183-P183-Q183</f>
        <v/>
      </c>
      <c r="S183" s="9">
        <f>MAX(0,R183)*가정!$C$7</f>
        <v/>
      </c>
      <c r="T183" s="9">
        <f>G183*가정!$C$17</f>
        <v/>
      </c>
      <c r="U183" s="9">
        <f>R183-S183-T183</f>
        <v/>
      </c>
      <c r="V183" s="12">
        <f>IF(G183=0,"",U183/G183)</f>
        <v/>
      </c>
      <c r="X183" s="7" t="n"/>
      <c r="Y183" s="7" t="n"/>
      <c r="Z183" s="7" t="n"/>
      <c r="AA183" s="13" t="n"/>
      <c r="AB183" s="13" t="n"/>
      <c r="AC183" s="14" t="n"/>
      <c r="AD183" s="14" t="n"/>
      <c r="AE183" s="13" t="n"/>
      <c r="AF183" s="15">
        <f>IF((1-K183-가정!$C$16-가정!$C$17-가정!$C$27-1/11)&lt;=0,"",IFERROR((I183+L183+M183)/(1-K183-가정!$C$16-가정!$C$17-가정!$C$27-1/11),""))</f>
        <v/>
      </c>
      <c r="AG183" s="15">
        <f>IF(OR(AA183="",AF183=""),"",AA183-AF183)</f>
        <v/>
      </c>
      <c r="AH183" s="16">
        <f>IF(G183="","",IFERROR((IF(AE183="",0,가정!$C$31*MIN(1,LOG(AE183+1)/LOG(가정!$C$30)))+IF(AB183="",0,가정!$C$32*(MAX(0,1-AB183/가정!$C$29)*0.6+AC183*0.4))+IF(AD183="",0,가정!$C$33*MAX(0,1-AD183))+IF(V183="",0,가정!$C$34*MIN(1,MAX(0,(V183-가정!$C$27)/(가정!$C$28-가정!$C$27)))))/(IF(AE183="",0,가정!$C$31)+IF(AB183="",0,가정!$C$32)+IF(AD183="",0,가정!$C$33)+IF(V183="",0,가정!$C$34))*100,""))</f>
        <v/>
      </c>
      <c r="AI183" s="17">
        <f>IF(AH183="","",IF(U183&lt;=0,"역마진",IF(AH183&gt;=가정!$C$35,"GO",IF(AH183&gt;=가정!$C$36,"검토","SKIP"))))</f>
        <v/>
      </c>
    </row>
    <row r="184">
      <c r="B184" s="6" t="n">
        <v>177</v>
      </c>
      <c r="C184" s="7" t="n"/>
      <c r="E184" s="7" t="n"/>
      <c r="F184" s="7" t="n"/>
      <c r="G184" s="8" t="n"/>
      <c r="H184" s="8" t="n">
        <v>0</v>
      </c>
      <c r="I184" s="9">
        <f>J184*가정!$C$10</f>
        <v/>
      </c>
      <c r="J184" s="10" t="n"/>
      <c r="K184" s="11">
        <f>가정!$C$14</f>
        <v/>
      </c>
      <c r="L184" s="8" t="n"/>
      <c r="M184" s="8" t="n"/>
      <c r="N184" s="9">
        <f>IF(가정!$C$25="Y",가정!$C$24,G184*가정!$C$16)</f>
        <v/>
      </c>
      <c r="P184" s="9">
        <f>(G184*K184)+(H184*가정!$C$15)</f>
        <v/>
      </c>
      <c r="Q184" s="9">
        <f>IF(가정!$C$5="간이과세",(G184+H184)*0.015,(G184+H184)/11-((L184+M184+N184+P184)/11)-IF(가정!$C$11="정식통관",I184*가정!$C$12,0))</f>
        <v/>
      </c>
      <c r="R184" s="9">
        <f>G184+H184-I184-L184-M184-N184-P184-Q184</f>
        <v/>
      </c>
      <c r="S184" s="9">
        <f>MAX(0,R184)*가정!$C$7</f>
        <v/>
      </c>
      <c r="T184" s="9">
        <f>G184*가정!$C$17</f>
        <v/>
      </c>
      <c r="U184" s="9">
        <f>R184-S184-T184</f>
        <v/>
      </c>
      <c r="V184" s="12">
        <f>IF(G184=0,"",U184/G184)</f>
        <v/>
      </c>
      <c r="X184" s="7" t="n"/>
      <c r="Y184" s="7" t="n"/>
      <c r="Z184" s="7" t="n"/>
      <c r="AA184" s="13" t="n"/>
      <c r="AB184" s="13" t="n"/>
      <c r="AC184" s="14" t="n"/>
      <c r="AD184" s="14" t="n"/>
      <c r="AE184" s="13" t="n"/>
      <c r="AF184" s="15">
        <f>IF((1-K184-가정!$C$16-가정!$C$17-가정!$C$27-1/11)&lt;=0,"",IFERROR((I184+L184+M184)/(1-K184-가정!$C$16-가정!$C$17-가정!$C$27-1/11),""))</f>
        <v/>
      </c>
      <c r="AG184" s="15">
        <f>IF(OR(AA184="",AF184=""),"",AA184-AF184)</f>
        <v/>
      </c>
      <c r="AH184" s="16">
        <f>IF(G184="","",IFERROR((IF(AE184="",0,가정!$C$31*MIN(1,LOG(AE184+1)/LOG(가정!$C$30)))+IF(AB184="",0,가정!$C$32*(MAX(0,1-AB184/가정!$C$29)*0.6+AC184*0.4))+IF(AD184="",0,가정!$C$33*MAX(0,1-AD184))+IF(V184="",0,가정!$C$34*MIN(1,MAX(0,(V184-가정!$C$27)/(가정!$C$28-가정!$C$27)))))/(IF(AE184="",0,가정!$C$31)+IF(AB184="",0,가정!$C$32)+IF(AD184="",0,가정!$C$33)+IF(V184="",0,가정!$C$34))*100,""))</f>
        <v/>
      </c>
      <c r="AI184" s="17">
        <f>IF(AH184="","",IF(U184&lt;=0,"역마진",IF(AH184&gt;=가정!$C$35,"GO",IF(AH184&gt;=가정!$C$36,"검토","SKIP"))))</f>
        <v/>
      </c>
    </row>
    <row r="185">
      <c r="B185" s="6" t="n">
        <v>178</v>
      </c>
      <c r="C185" s="7" t="n"/>
      <c r="E185" s="7" t="n"/>
      <c r="F185" s="7" t="n"/>
      <c r="G185" s="8" t="n"/>
      <c r="H185" s="8" t="n">
        <v>0</v>
      </c>
      <c r="I185" s="9">
        <f>J185*가정!$C$10</f>
        <v/>
      </c>
      <c r="J185" s="10" t="n"/>
      <c r="K185" s="11">
        <f>가정!$C$14</f>
        <v/>
      </c>
      <c r="L185" s="8" t="n"/>
      <c r="M185" s="8" t="n"/>
      <c r="N185" s="9">
        <f>IF(가정!$C$25="Y",가정!$C$24,G185*가정!$C$16)</f>
        <v/>
      </c>
      <c r="P185" s="9">
        <f>(G185*K185)+(H185*가정!$C$15)</f>
        <v/>
      </c>
      <c r="Q185" s="9">
        <f>IF(가정!$C$5="간이과세",(G185+H185)*0.015,(G185+H185)/11-((L185+M185+N185+P185)/11)-IF(가정!$C$11="정식통관",I185*가정!$C$12,0))</f>
        <v/>
      </c>
      <c r="R185" s="9">
        <f>G185+H185-I185-L185-M185-N185-P185-Q185</f>
        <v/>
      </c>
      <c r="S185" s="9">
        <f>MAX(0,R185)*가정!$C$7</f>
        <v/>
      </c>
      <c r="T185" s="9">
        <f>G185*가정!$C$17</f>
        <v/>
      </c>
      <c r="U185" s="9">
        <f>R185-S185-T185</f>
        <v/>
      </c>
      <c r="V185" s="12">
        <f>IF(G185=0,"",U185/G185)</f>
        <v/>
      </c>
      <c r="X185" s="7" t="n"/>
      <c r="Y185" s="7" t="n"/>
      <c r="Z185" s="7" t="n"/>
      <c r="AA185" s="13" t="n"/>
      <c r="AB185" s="13" t="n"/>
      <c r="AC185" s="14" t="n"/>
      <c r="AD185" s="14" t="n"/>
      <c r="AE185" s="13" t="n"/>
      <c r="AF185" s="15">
        <f>IF((1-K185-가정!$C$16-가정!$C$17-가정!$C$27-1/11)&lt;=0,"",IFERROR((I185+L185+M185)/(1-K185-가정!$C$16-가정!$C$17-가정!$C$27-1/11),""))</f>
        <v/>
      </c>
      <c r="AG185" s="15">
        <f>IF(OR(AA185="",AF185=""),"",AA185-AF185)</f>
        <v/>
      </c>
      <c r="AH185" s="16">
        <f>IF(G185="","",IFERROR((IF(AE185="",0,가정!$C$31*MIN(1,LOG(AE185+1)/LOG(가정!$C$30)))+IF(AB185="",0,가정!$C$32*(MAX(0,1-AB185/가정!$C$29)*0.6+AC185*0.4))+IF(AD185="",0,가정!$C$33*MAX(0,1-AD185))+IF(V185="",0,가정!$C$34*MIN(1,MAX(0,(V185-가정!$C$27)/(가정!$C$28-가정!$C$27)))))/(IF(AE185="",0,가정!$C$31)+IF(AB185="",0,가정!$C$32)+IF(AD185="",0,가정!$C$33)+IF(V185="",0,가정!$C$34))*100,""))</f>
        <v/>
      </c>
      <c r="AI185" s="17">
        <f>IF(AH185="","",IF(U185&lt;=0,"역마진",IF(AH185&gt;=가정!$C$35,"GO",IF(AH185&gt;=가정!$C$36,"검토","SKIP"))))</f>
        <v/>
      </c>
    </row>
    <row r="186">
      <c r="B186" s="6" t="n">
        <v>179</v>
      </c>
      <c r="C186" s="7" t="n"/>
      <c r="E186" s="7" t="n"/>
      <c r="F186" s="7" t="n"/>
      <c r="G186" s="8" t="n"/>
      <c r="H186" s="8" t="n">
        <v>0</v>
      </c>
      <c r="I186" s="9">
        <f>J186*가정!$C$10</f>
        <v/>
      </c>
      <c r="J186" s="10" t="n"/>
      <c r="K186" s="11">
        <f>가정!$C$14</f>
        <v/>
      </c>
      <c r="L186" s="8" t="n"/>
      <c r="M186" s="8" t="n"/>
      <c r="N186" s="9">
        <f>IF(가정!$C$25="Y",가정!$C$24,G186*가정!$C$16)</f>
        <v/>
      </c>
      <c r="P186" s="9">
        <f>(G186*K186)+(H186*가정!$C$15)</f>
        <v/>
      </c>
      <c r="Q186" s="9">
        <f>IF(가정!$C$5="간이과세",(G186+H186)*0.015,(G186+H186)/11-((L186+M186+N186+P186)/11)-IF(가정!$C$11="정식통관",I186*가정!$C$12,0))</f>
        <v/>
      </c>
      <c r="R186" s="9">
        <f>G186+H186-I186-L186-M186-N186-P186-Q186</f>
        <v/>
      </c>
      <c r="S186" s="9">
        <f>MAX(0,R186)*가정!$C$7</f>
        <v/>
      </c>
      <c r="T186" s="9">
        <f>G186*가정!$C$17</f>
        <v/>
      </c>
      <c r="U186" s="9">
        <f>R186-S186-T186</f>
        <v/>
      </c>
      <c r="V186" s="12">
        <f>IF(G186=0,"",U186/G186)</f>
        <v/>
      </c>
      <c r="X186" s="7" t="n"/>
      <c r="Y186" s="7" t="n"/>
      <c r="Z186" s="7" t="n"/>
      <c r="AA186" s="13" t="n"/>
      <c r="AB186" s="13" t="n"/>
      <c r="AC186" s="14" t="n"/>
      <c r="AD186" s="14" t="n"/>
      <c r="AE186" s="13" t="n"/>
      <c r="AF186" s="15">
        <f>IF((1-K186-가정!$C$16-가정!$C$17-가정!$C$27-1/11)&lt;=0,"",IFERROR((I186+L186+M186)/(1-K186-가정!$C$16-가정!$C$17-가정!$C$27-1/11),""))</f>
        <v/>
      </c>
      <c r="AG186" s="15">
        <f>IF(OR(AA186="",AF186=""),"",AA186-AF186)</f>
        <v/>
      </c>
      <c r="AH186" s="16">
        <f>IF(G186="","",IFERROR((IF(AE186="",0,가정!$C$31*MIN(1,LOG(AE186+1)/LOG(가정!$C$30)))+IF(AB186="",0,가정!$C$32*(MAX(0,1-AB186/가정!$C$29)*0.6+AC186*0.4))+IF(AD186="",0,가정!$C$33*MAX(0,1-AD186))+IF(V186="",0,가정!$C$34*MIN(1,MAX(0,(V186-가정!$C$27)/(가정!$C$28-가정!$C$27)))))/(IF(AE186="",0,가정!$C$31)+IF(AB186="",0,가정!$C$32)+IF(AD186="",0,가정!$C$33)+IF(V186="",0,가정!$C$34))*100,""))</f>
        <v/>
      </c>
      <c r="AI186" s="17">
        <f>IF(AH186="","",IF(U186&lt;=0,"역마진",IF(AH186&gt;=가정!$C$35,"GO",IF(AH186&gt;=가정!$C$36,"검토","SKIP"))))</f>
        <v/>
      </c>
    </row>
    <row r="187">
      <c r="B187" s="6" t="n">
        <v>180</v>
      </c>
      <c r="C187" s="7" t="n"/>
      <c r="E187" s="7" t="n"/>
      <c r="F187" s="7" t="n"/>
      <c r="G187" s="8" t="n"/>
      <c r="H187" s="8" t="n">
        <v>0</v>
      </c>
      <c r="I187" s="9">
        <f>J187*가정!$C$10</f>
        <v/>
      </c>
      <c r="J187" s="10" t="n"/>
      <c r="K187" s="11">
        <f>가정!$C$14</f>
        <v/>
      </c>
      <c r="L187" s="8" t="n"/>
      <c r="M187" s="8" t="n"/>
      <c r="N187" s="9">
        <f>IF(가정!$C$25="Y",가정!$C$24,G187*가정!$C$16)</f>
        <v/>
      </c>
      <c r="P187" s="9">
        <f>(G187*K187)+(H187*가정!$C$15)</f>
        <v/>
      </c>
      <c r="Q187" s="9">
        <f>IF(가정!$C$5="간이과세",(G187+H187)*0.015,(G187+H187)/11-((L187+M187+N187+P187)/11)-IF(가정!$C$11="정식통관",I187*가정!$C$12,0))</f>
        <v/>
      </c>
      <c r="R187" s="9">
        <f>G187+H187-I187-L187-M187-N187-P187-Q187</f>
        <v/>
      </c>
      <c r="S187" s="9">
        <f>MAX(0,R187)*가정!$C$7</f>
        <v/>
      </c>
      <c r="T187" s="9">
        <f>G187*가정!$C$17</f>
        <v/>
      </c>
      <c r="U187" s="9">
        <f>R187-S187-T187</f>
        <v/>
      </c>
      <c r="V187" s="12">
        <f>IF(G187=0,"",U187/G187)</f>
        <v/>
      </c>
      <c r="X187" s="7" t="n"/>
      <c r="Y187" s="7" t="n"/>
      <c r="Z187" s="7" t="n"/>
      <c r="AA187" s="13" t="n"/>
      <c r="AB187" s="13" t="n"/>
      <c r="AC187" s="14" t="n"/>
      <c r="AD187" s="14" t="n"/>
      <c r="AE187" s="13" t="n"/>
      <c r="AF187" s="15">
        <f>IF((1-K187-가정!$C$16-가정!$C$17-가정!$C$27-1/11)&lt;=0,"",IFERROR((I187+L187+M187)/(1-K187-가정!$C$16-가정!$C$17-가정!$C$27-1/11),""))</f>
        <v/>
      </c>
      <c r="AG187" s="15">
        <f>IF(OR(AA187="",AF187=""),"",AA187-AF187)</f>
        <v/>
      </c>
      <c r="AH187" s="16">
        <f>IF(G187="","",IFERROR((IF(AE187="",0,가정!$C$31*MIN(1,LOG(AE187+1)/LOG(가정!$C$30)))+IF(AB187="",0,가정!$C$32*(MAX(0,1-AB187/가정!$C$29)*0.6+AC187*0.4))+IF(AD187="",0,가정!$C$33*MAX(0,1-AD187))+IF(V187="",0,가정!$C$34*MIN(1,MAX(0,(V187-가정!$C$27)/(가정!$C$28-가정!$C$27)))))/(IF(AE187="",0,가정!$C$31)+IF(AB187="",0,가정!$C$32)+IF(AD187="",0,가정!$C$33)+IF(V187="",0,가정!$C$34))*100,""))</f>
        <v/>
      </c>
      <c r="AI187" s="17">
        <f>IF(AH187="","",IF(U187&lt;=0,"역마진",IF(AH187&gt;=가정!$C$35,"GO",IF(AH187&gt;=가정!$C$36,"검토","SKIP"))))</f>
        <v/>
      </c>
    </row>
    <row r="188">
      <c r="B188" s="6" t="n">
        <v>181</v>
      </c>
      <c r="C188" s="7" t="n"/>
      <c r="E188" s="7" t="n"/>
      <c r="F188" s="7" t="n"/>
      <c r="G188" s="8" t="n"/>
      <c r="H188" s="8" t="n">
        <v>0</v>
      </c>
      <c r="I188" s="9">
        <f>J188*가정!$C$10</f>
        <v/>
      </c>
      <c r="J188" s="10" t="n"/>
      <c r="K188" s="11">
        <f>가정!$C$14</f>
        <v/>
      </c>
      <c r="L188" s="8" t="n"/>
      <c r="M188" s="8" t="n"/>
      <c r="N188" s="9">
        <f>IF(가정!$C$25="Y",가정!$C$24,G188*가정!$C$16)</f>
        <v/>
      </c>
      <c r="P188" s="9">
        <f>(G188*K188)+(H188*가정!$C$15)</f>
        <v/>
      </c>
      <c r="Q188" s="9">
        <f>IF(가정!$C$5="간이과세",(G188+H188)*0.015,(G188+H188)/11-((L188+M188+N188+P188)/11)-IF(가정!$C$11="정식통관",I188*가정!$C$12,0))</f>
        <v/>
      </c>
      <c r="R188" s="9">
        <f>G188+H188-I188-L188-M188-N188-P188-Q188</f>
        <v/>
      </c>
      <c r="S188" s="9">
        <f>MAX(0,R188)*가정!$C$7</f>
        <v/>
      </c>
      <c r="T188" s="9">
        <f>G188*가정!$C$17</f>
        <v/>
      </c>
      <c r="U188" s="9">
        <f>R188-S188-T188</f>
        <v/>
      </c>
      <c r="V188" s="12">
        <f>IF(G188=0,"",U188/G188)</f>
        <v/>
      </c>
      <c r="X188" s="7" t="n"/>
      <c r="Y188" s="7" t="n"/>
      <c r="Z188" s="7" t="n"/>
      <c r="AA188" s="13" t="n"/>
      <c r="AB188" s="13" t="n"/>
      <c r="AC188" s="14" t="n"/>
      <c r="AD188" s="14" t="n"/>
      <c r="AE188" s="13" t="n"/>
      <c r="AF188" s="15">
        <f>IF((1-K188-가정!$C$16-가정!$C$17-가정!$C$27-1/11)&lt;=0,"",IFERROR((I188+L188+M188)/(1-K188-가정!$C$16-가정!$C$17-가정!$C$27-1/11),""))</f>
        <v/>
      </c>
      <c r="AG188" s="15">
        <f>IF(OR(AA188="",AF188=""),"",AA188-AF188)</f>
        <v/>
      </c>
      <c r="AH188" s="16">
        <f>IF(G188="","",IFERROR((IF(AE188="",0,가정!$C$31*MIN(1,LOG(AE188+1)/LOG(가정!$C$30)))+IF(AB188="",0,가정!$C$32*(MAX(0,1-AB188/가정!$C$29)*0.6+AC188*0.4))+IF(AD188="",0,가정!$C$33*MAX(0,1-AD188))+IF(V188="",0,가정!$C$34*MIN(1,MAX(0,(V188-가정!$C$27)/(가정!$C$28-가정!$C$27)))))/(IF(AE188="",0,가정!$C$31)+IF(AB188="",0,가정!$C$32)+IF(AD188="",0,가정!$C$33)+IF(V188="",0,가정!$C$34))*100,""))</f>
        <v/>
      </c>
      <c r="AI188" s="17">
        <f>IF(AH188="","",IF(U188&lt;=0,"역마진",IF(AH188&gt;=가정!$C$35,"GO",IF(AH188&gt;=가정!$C$36,"검토","SKIP"))))</f>
        <v/>
      </c>
    </row>
    <row r="189">
      <c r="B189" s="6" t="n">
        <v>182</v>
      </c>
      <c r="C189" s="7" t="n"/>
      <c r="E189" s="7" t="n"/>
      <c r="F189" s="7" t="n"/>
      <c r="G189" s="8" t="n"/>
      <c r="H189" s="8" t="n">
        <v>0</v>
      </c>
      <c r="I189" s="9">
        <f>J189*가정!$C$10</f>
        <v/>
      </c>
      <c r="J189" s="10" t="n"/>
      <c r="K189" s="11">
        <f>가정!$C$14</f>
        <v/>
      </c>
      <c r="L189" s="8" t="n"/>
      <c r="M189" s="8" t="n"/>
      <c r="N189" s="9">
        <f>IF(가정!$C$25="Y",가정!$C$24,G189*가정!$C$16)</f>
        <v/>
      </c>
      <c r="P189" s="9">
        <f>(G189*K189)+(H189*가정!$C$15)</f>
        <v/>
      </c>
      <c r="Q189" s="9">
        <f>IF(가정!$C$5="간이과세",(G189+H189)*0.015,(G189+H189)/11-((L189+M189+N189+P189)/11)-IF(가정!$C$11="정식통관",I189*가정!$C$12,0))</f>
        <v/>
      </c>
      <c r="R189" s="9">
        <f>G189+H189-I189-L189-M189-N189-P189-Q189</f>
        <v/>
      </c>
      <c r="S189" s="9">
        <f>MAX(0,R189)*가정!$C$7</f>
        <v/>
      </c>
      <c r="T189" s="9">
        <f>G189*가정!$C$17</f>
        <v/>
      </c>
      <c r="U189" s="9">
        <f>R189-S189-T189</f>
        <v/>
      </c>
      <c r="V189" s="12">
        <f>IF(G189=0,"",U189/G189)</f>
        <v/>
      </c>
      <c r="X189" s="7" t="n"/>
      <c r="Y189" s="7" t="n"/>
      <c r="Z189" s="7" t="n"/>
      <c r="AA189" s="13" t="n"/>
      <c r="AB189" s="13" t="n"/>
      <c r="AC189" s="14" t="n"/>
      <c r="AD189" s="14" t="n"/>
      <c r="AE189" s="13" t="n"/>
      <c r="AF189" s="15">
        <f>IF((1-K189-가정!$C$16-가정!$C$17-가정!$C$27-1/11)&lt;=0,"",IFERROR((I189+L189+M189)/(1-K189-가정!$C$16-가정!$C$17-가정!$C$27-1/11),""))</f>
        <v/>
      </c>
      <c r="AG189" s="15">
        <f>IF(OR(AA189="",AF189=""),"",AA189-AF189)</f>
        <v/>
      </c>
      <c r="AH189" s="16">
        <f>IF(G189="","",IFERROR((IF(AE189="",0,가정!$C$31*MIN(1,LOG(AE189+1)/LOG(가정!$C$30)))+IF(AB189="",0,가정!$C$32*(MAX(0,1-AB189/가정!$C$29)*0.6+AC189*0.4))+IF(AD189="",0,가정!$C$33*MAX(0,1-AD189))+IF(V189="",0,가정!$C$34*MIN(1,MAX(0,(V189-가정!$C$27)/(가정!$C$28-가정!$C$27)))))/(IF(AE189="",0,가정!$C$31)+IF(AB189="",0,가정!$C$32)+IF(AD189="",0,가정!$C$33)+IF(V189="",0,가정!$C$34))*100,""))</f>
        <v/>
      </c>
      <c r="AI189" s="17">
        <f>IF(AH189="","",IF(U189&lt;=0,"역마진",IF(AH189&gt;=가정!$C$35,"GO",IF(AH189&gt;=가정!$C$36,"검토","SKIP"))))</f>
        <v/>
      </c>
    </row>
    <row r="190">
      <c r="B190" s="6" t="n">
        <v>183</v>
      </c>
      <c r="C190" s="7" t="n"/>
      <c r="E190" s="7" t="n"/>
      <c r="F190" s="7" t="n"/>
      <c r="G190" s="8" t="n"/>
      <c r="H190" s="8" t="n">
        <v>0</v>
      </c>
      <c r="I190" s="9">
        <f>J190*가정!$C$10</f>
        <v/>
      </c>
      <c r="J190" s="10" t="n"/>
      <c r="K190" s="11">
        <f>가정!$C$14</f>
        <v/>
      </c>
      <c r="L190" s="8" t="n"/>
      <c r="M190" s="8" t="n"/>
      <c r="N190" s="9">
        <f>IF(가정!$C$25="Y",가정!$C$24,G190*가정!$C$16)</f>
        <v/>
      </c>
      <c r="P190" s="9">
        <f>(G190*K190)+(H190*가정!$C$15)</f>
        <v/>
      </c>
      <c r="Q190" s="9">
        <f>IF(가정!$C$5="간이과세",(G190+H190)*0.015,(G190+H190)/11-((L190+M190+N190+P190)/11)-IF(가정!$C$11="정식통관",I190*가정!$C$12,0))</f>
        <v/>
      </c>
      <c r="R190" s="9">
        <f>G190+H190-I190-L190-M190-N190-P190-Q190</f>
        <v/>
      </c>
      <c r="S190" s="9">
        <f>MAX(0,R190)*가정!$C$7</f>
        <v/>
      </c>
      <c r="T190" s="9">
        <f>G190*가정!$C$17</f>
        <v/>
      </c>
      <c r="U190" s="9">
        <f>R190-S190-T190</f>
        <v/>
      </c>
      <c r="V190" s="12">
        <f>IF(G190=0,"",U190/G190)</f>
        <v/>
      </c>
      <c r="X190" s="7" t="n"/>
      <c r="Y190" s="7" t="n"/>
      <c r="Z190" s="7" t="n"/>
      <c r="AA190" s="13" t="n"/>
      <c r="AB190" s="13" t="n"/>
      <c r="AC190" s="14" t="n"/>
      <c r="AD190" s="14" t="n"/>
      <c r="AE190" s="13" t="n"/>
      <c r="AF190" s="15">
        <f>IF((1-K190-가정!$C$16-가정!$C$17-가정!$C$27-1/11)&lt;=0,"",IFERROR((I190+L190+M190)/(1-K190-가정!$C$16-가정!$C$17-가정!$C$27-1/11),""))</f>
        <v/>
      </c>
      <c r="AG190" s="15">
        <f>IF(OR(AA190="",AF190=""),"",AA190-AF190)</f>
        <v/>
      </c>
      <c r="AH190" s="16">
        <f>IF(G190="","",IFERROR((IF(AE190="",0,가정!$C$31*MIN(1,LOG(AE190+1)/LOG(가정!$C$30)))+IF(AB190="",0,가정!$C$32*(MAX(0,1-AB190/가정!$C$29)*0.6+AC190*0.4))+IF(AD190="",0,가정!$C$33*MAX(0,1-AD190))+IF(V190="",0,가정!$C$34*MIN(1,MAX(0,(V190-가정!$C$27)/(가정!$C$28-가정!$C$27)))))/(IF(AE190="",0,가정!$C$31)+IF(AB190="",0,가정!$C$32)+IF(AD190="",0,가정!$C$33)+IF(V190="",0,가정!$C$34))*100,""))</f>
        <v/>
      </c>
      <c r="AI190" s="17">
        <f>IF(AH190="","",IF(U190&lt;=0,"역마진",IF(AH190&gt;=가정!$C$35,"GO",IF(AH190&gt;=가정!$C$36,"검토","SKIP"))))</f>
        <v/>
      </c>
    </row>
    <row r="191">
      <c r="B191" s="6" t="n">
        <v>184</v>
      </c>
      <c r="C191" s="7" t="n"/>
      <c r="E191" s="7" t="n"/>
      <c r="F191" s="7" t="n"/>
      <c r="G191" s="8" t="n"/>
      <c r="H191" s="8" t="n">
        <v>0</v>
      </c>
      <c r="I191" s="9">
        <f>J191*가정!$C$10</f>
        <v/>
      </c>
      <c r="J191" s="10" t="n"/>
      <c r="K191" s="11">
        <f>가정!$C$14</f>
        <v/>
      </c>
      <c r="L191" s="8" t="n"/>
      <c r="M191" s="8" t="n"/>
      <c r="N191" s="9">
        <f>IF(가정!$C$25="Y",가정!$C$24,G191*가정!$C$16)</f>
        <v/>
      </c>
      <c r="P191" s="9">
        <f>(G191*K191)+(H191*가정!$C$15)</f>
        <v/>
      </c>
      <c r="Q191" s="9">
        <f>IF(가정!$C$5="간이과세",(G191+H191)*0.015,(G191+H191)/11-((L191+M191+N191+P191)/11)-IF(가정!$C$11="정식통관",I191*가정!$C$12,0))</f>
        <v/>
      </c>
      <c r="R191" s="9">
        <f>G191+H191-I191-L191-M191-N191-P191-Q191</f>
        <v/>
      </c>
      <c r="S191" s="9">
        <f>MAX(0,R191)*가정!$C$7</f>
        <v/>
      </c>
      <c r="T191" s="9">
        <f>G191*가정!$C$17</f>
        <v/>
      </c>
      <c r="U191" s="9">
        <f>R191-S191-T191</f>
        <v/>
      </c>
      <c r="V191" s="12">
        <f>IF(G191=0,"",U191/G191)</f>
        <v/>
      </c>
      <c r="X191" s="7" t="n"/>
      <c r="Y191" s="7" t="n"/>
      <c r="Z191" s="7" t="n"/>
      <c r="AA191" s="13" t="n"/>
      <c r="AB191" s="13" t="n"/>
      <c r="AC191" s="14" t="n"/>
      <c r="AD191" s="14" t="n"/>
      <c r="AE191" s="13" t="n"/>
      <c r="AF191" s="15">
        <f>IF((1-K191-가정!$C$16-가정!$C$17-가정!$C$27-1/11)&lt;=0,"",IFERROR((I191+L191+M191)/(1-K191-가정!$C$16-가정!$C$17-가정!$C$27-1/11),""))</f>
        <v/>
      </c>
      <c r="AG191" s="15">
        <f>IF(OR(AA191="",AF191=""),"",AA191-AF191)</f>
        <v/>
      </c>
      <c r="AH191" s="16">
        <f>IF(G191="","",IFERROR((IF(AE191="",0,가정!$C$31*MIN(1,LOG(AE191+1)/LOG(가정!$C$30)))+IF(AB191="",0,가정!$C$32*(MAX(0,1-AB191/가정!$C$29)*0.6+AC191*0.4))+IF(AD191="",0,가정!$C$33*MAX(0,1-AD191))+IF(V191="",0,가정!$C$34*MIN(1,MAX(0,(V191-가정!$C$27)/(가정!$C$28-가정!$C$27)))))/(IF(AE191="",0,가정!$C$31)+IF(AB191="",0,가정!$C$32)+IF(AD191="",0,가정!$C$33)+IF(V191="",0,가정!$C$34))*100,""))</f>
        <v/>
      </c>
      <c r="AI191" s="17">
        <f>IF(AH191="","",IF(U191&lt;=0,"역마진",IF(AH191&gt;=가정!$C$35,"GO",IF(AH191&gt;=가정!$C$36,"검토","SKIP"))))</f>
        <v/>
      </c>
    </row>
    <row r="192">
      <c r="B192" s="6" t="n">
        <v>185</v>
      </c>
      <c r="C192" s="7" t="n"/>
      <c r="E192" s="7" t="n"/>
      <c r="F192" s="7" t="n"/>
      <c r="G192" s="8" t="n"/>
      <c r="H192" s="8" t="n">
        <v>0</v>
      </c>
      <c r="I192" s="9">
        <f>J192*가정!$C$10</f>
        <v/>
      </c>
      <c r="J192" s="10" t="n"/>
      <c r="K192" s="11">
        <f>가정!$C$14</f>
        <v/>
      </c>
      <c r="L192" s="8" t="n"/>
      <c r="M192" s="8" t="n"/>
      <c r="N192" s="9">
        <f>IF(가정!$C$25="Y",가정!$C$24,G192*가정!$C$16)</f>
        <v/>
      </c>
      <c r="P192" s="9">
        <f>(G192*K192)+(H192*가정!$C$15)</f>
        <v/>
      </c>
      <c r="Q192" s="9">
        <f>IF(가정!$C$5="간이과세",(G192+H192)*0.015,(G192+H192)/11-((L192+M192+N192+P192)/11)-IF(가정!$C$11="정식통관",I192*가정!$C$12,0))</f>
        <v/>
      </c>
      <c r="R192" s="9">
        <f>G192+H192-I192-L192-M192-N192-P192-Q192</f>
        <v/>
      </c>
      <c r="S192" s="9">
        <f>MAX(0,R192)*가정!$C$7</f>
        <v/>
      </c>
      <c r="T192" s="9">
        <f>G192*가정!$C$17</f>
        <v/>
      </c>
      <c r="U192" s="9">
        <f>R192-S192-T192</f>
        <v/>
      </c>
      <c r="V192" s="12">
        <f>IF(G192=0,"",U192/G192)</f>
        <v/>
      </c>
      <c r="X192" s="7" t="n"/>
      <c r="Y192" s="7" t="n"/>
      <c r="Z192" s="7" t="n"/>
      <c r="AA192" s="13" t="n"/>
      <c r="AB192" s="13" t="n"/>
      <c r="AC192" s="14" t="n"/>
      <c r="AD192" s="14" t="n"/>
      <c r="AE192" s="13" t="n"/>
      <c r="AF192" s="15">
        <f>IF((1-K192-가정!$C$16-가정!$C$17-가정!$C$27-1/11)&lt;=0,"",IFERROR((I192+L192+M192)/(1-K192-가정!$C$16-가정!$C$17-가정!$C$27-1/11),""))</f>
        <v/>
      </c>
      <c r="AG192" s="15">
        <f>IF(OR(AA192="",AF192=""),"",AA192-AF192)</f>
        <v/>
      </c>
      <c r="AH192" s="16">
        <f>IF(G192="","",IFERROR((IF(AE192="",0,가정!$C$31*MIN(1,LOG(AE192+1)/LOG(가정!$C$30)))+IF(AB192="",0,가정!$C$32*(MAX(0,1-AB192/가정!$C$29)*0.6+AC192*0.4))+IF(AD192="",0,가정!$C$33*MAX(0,1-AD192))+IF(V192="",0,가정!$C$34*MIN(1,MAX(0,(V192-가정!$C$27)/(가정!$C$28-가정!$C$27)))))/(IF(AE192="",0,가정!$C$31)+IF(AB192="",0,가정!$C$32)+IF(AD192="",0,가정!$C$33)+IF(V192="",0,가정!$C$34))*100,""))</f>
        <v/>
      </c>
      <c r="AI192" s="17">
        <f>IF(AH192="","",IF(U192&lt;=0,"역마진",IF(AH192&gt;=가정!$C$35,"GO",IF(AH192&gt;=가정!$C$36,"검토","SKIP"))))</f>
        <v/>
      </c>
    </row>
    <row r="193">
      <c r="B193" s="6" t="n">
        <v>186</v>
      </c>
      <c r="C193" s="7" t="n"/>
      <c r="E193" s="7" t="n"/>
      <c r="F193" s="7" t="n"/>
      <c r="G193" s="8" t="n"/>
      <c r="H193" s="8" t="n">
        <v>0</v>
      </c>
      <c r="I193" s="9">
        <f>J193*가정!$C$10</f>
        <v/>
      </c>
      <c r="J193" s="10" t="n"/>
      <c r="K193" s="11">
        <f>가정!$C$14</f>
        <v/>
      </c>
      <c r="L193" s="8" t="n"/>
      <c r="M193" s="8" t="n"/>
      <c r="N193" s="9">
        <f>IF(가정!$C$25="Y",가정!$C$24,G193*가정!$C$16)</f>
        <v/>
      </c>
      <c r="P193" s="9">
        <f>(G193*K193)+(H193*가정!$C$15)</f>
        <v/>
      </c>
      <c r="Q193" s="9">
        <f>IF(가정!$C$5="간이과세",(G193+H193)*0.015,(G193+H193)/11-((L193+M193+N193+P193)/11)-IF(가정!$C$11="정식통관",I193*가정!$C$12,0))</f>
        <v/>
      </c>
      <c r="R193" s="9">
        <f>G193+H193-I193-L193-M193-N193-P193-Q193</f>
        <v/>
      </c>
      <c r="S193" s="9">
        <f>MAX(0,R193)*가정!$C$7</f>
        <v/>
      </c>
      <c r="T193" s="9">
        <f>G193*가정!$C$17</f>
        <v/>
      </c>
      <c r="U193" s="9">
        <f>R193-S193-T193</f>
        <v/>
      </c>
      <c r="V193" s="12">
        <f>IF(G193=0,"",U193/G193)</f>
        <v/>
      </c>
      <c r="X193" s="7" t="n"/>
      <c r="Y193" s="7" t="n"/>
      <c r="Z193" s="7" t="n"/>
      <c r="AA193" s="13" t="n"/>
      <c r="AB193" s="13" t="n"/>
      <c r="AC193" s="14" t="n"/>
      <c r="AD193" s="14" t="n"/>
      <c r="AE193" s="13" t="n"/>
      <c r="AF193" s="15">
        <f>IF((1-K193-가정!$C$16-가정!$C$17-가정!$C$27-1/11)&lt;=0,"",IFERROR((I193+L193+M193)/(1-K193-가정!$C$16-가정!$C$17-가정!$C$27-1/11),""))</f>
        <v/>
      </c>
      <c r="AG193" s="15">
        <f>IF(OR(AA193="",AF193=""),"",AA193-AF193)</f>
        <v/>
      </c>
      <c r="AH193" s="16">
        <f>IF(G193="","",IFERROR((IF(AE193="",0,가정!$C$31*MIN(1,LOG(AE193+1)/LOG(가정!$C$30)))+IF(AB193="",0,가정!$C$32*(MAX(0,1-AB193/가정!$C$29)*0.6+AC193*0.4))+IF(AD193="",0,가정!$C$33*MAX(0,1-AD193))+IF(V193="",0,가정!$C$34*MIN(1,MAX(0,(V193-가정!$C$27)/(가정!$C$28-가정!$C$27)))))/(IF(AE193="",0,가정!$C$31)+IF(AB193="",0,가정!$C$32)+IF(AD193="",0,가정!$C$33)+IF(V193="",0,가정!$C$34))*100,""))</f>
        <v/>
      </c>
      <c r="AI193" s="17">
        <f>IF(AH193="","",IF(U193&lt;=0,"역마진",IF(AH193&gt;=가정!$C$35,"GO",IF(AH193&gt;=가정!$C$36,"검토","SKIP"))))</f>
        <v/>
      </c>
    </row>
    <row r="194">
      <c r="B194" s="6" t="n">
        <v>187</v>
      </c>
      <c r="C194" s="7" t="n"/>
      <c r="E194" s="7" t="n"/>
      <c r="F194" s="7" t="n"/>
      <c r="G194" s="8" t="n"/>
      <c r="H194" s="8" t="n">
        <v>0</v>
      </c>
      <c r="I194" s="9">
        <f>J194*가정!$C$10</f>
        <v/>
      </c>
      <c r="J194" s="10" t="n"/>
      <c r="K194" s="11">
        <f>가정!$C$14</f>
        <v/>
      </c>
      <c r="L194" s="8" t="n"/>
      <c r="M194" s="8" t="n"/>
      <c r="N194" s="9">
        <f>IF(가정!$C$25="Y",가정!$C$24,G194*가정!$C$16)</f>
        <v/>
      </c>
      <c r="P194" s="9">
        <f>(G194*K194)+(H194*가정!$C$15)</f>
        <v/>
      </c>
      <c r="Q194" s="9">
        <f>IF(가정!$C$5="간이과세",(G194+H194)*0.015,(G194+H194)/11-((L194+M194+N194+P194)/11)-IF(가정!$C$11="정식통관",I194*가정!$C$12,0))</f>
        <v/>
      </c>
      <c r="R194" s="9">
        <f>G194+H194-I194-L194-M194-N194-P194-Q194</f>
        <v/>
      </c>
      <c r="S194" s="9">
        <f>MAX(0,R194)*가정!$C$7</f>
        <v/>
      </c>
      <c r="T194" s="9">
        <f>G194*가정!$C$17</f>
        <v/>
      </c>
      <c r="U194" s="9">
        <f>R194-S194-T194</f>
        <v/>
      </c>
      <c r="V194" s="12">
        <f>IF(G194=0,"",U194/G194)</f>
        <v/>
      </c>
      <c r="X194" s="7" t="n"/>
      <c r="Y194" s="7" t="n"/>
      <c r="Z194" s="7" t="n"/>
      <c r="AA194" s="13" t="n"/>
      <c r="AB194" s="13" t="n"/>
      <c r="AC194" s="14" t="n"/>
      <c r="AD194" s="14" t="n"/>
      <c r="AE194" s="13" t="n"/>
      <c r="AF194" s="15">
        <f>IF((1-K194-가정!$C$16-가정!$C$17-가정!$C$27-1/11)&lt;=0,"",IFERROR((I194+L194+M194)/(1-K194-가정!$C$16-가정!$C$17-가정!$C$27-1/11),""))</f>
        <v/>
      </c>
      <c r="AG194" s="15">
        <f>IF(OR(AA194="",AF194=""),"",AA194-AF194)</f>
        <v/>
      </c>
      <c r="AH194" s="16">
        <f>IF(G194="","",IFERROR((IF(AE194="",0,가정!$C$31*MIN(1,LOG(AE194+1)/LOG(가정!$C$30)))+IF(AB194="",0,가정!$C$32*(MAX(0,1-AB194/가정!$C$29)*0.6+AC194*0.4))+IF(AD194="",0,가정!$C$33*MAX(0,1-AD194))+IF(V194="",0,가정!$C$34*MIN(1,MAX(0,(V194-가정!$C$27)/(가정!$C$28-가정!$C$27)))))/(IF(AE194="",0,가정!$C$31)+IF(AB194="",0,가정!$C$32)+IF(AD194="",0,가정!$C$33)+IF(V194="",0,가정!$C$34))*100,""))</f>
        <v/>
      </c>
      <c r="AI194" s="17">
        <f>IF(AH194="","",IF(U194&lt;=0,"역마진",IF(AH194&gt;=가정!$C$35,"GO",IF(AH194&gt;=가정!$C$36,"검토","SKIP"))))</f>
        <v/>
      </c>
    </row>
    <row r="195">
      <c r="B195" s="6" t="n">
        <v>188</v>
      </c>
      <c r="C195" s="7" t="n"/>
      <c r="E195" s="7" t="n"/>
      <c r="F195" s="7" t="n"/>
      <c r="G195" s="8" t="n"/>
      <c r="H195" s="8" t="n">
        <v>0</v>
      </c>
      <c r="I195" s="9">
        <f>J195*가정!$C$10</f>
        <v/>
      </c>
      <c r="J195" s="10" t="n"/>
      <c r="K195" s="11">
        <f>가정!$C$14</f>
        <v/>
      </c>
      <c r="L195" s="8" t="n"/>
      <c r="M195" s="8" t="n"/>
      <c r="N195" s="9">
        <f>IF(가정!$C$25="Y",가정!$C$24,G195*가정!$C$16)</f>
        <v/>
      </c>
      <c r="P195" s="9">
        <f>(G195*K195)+(H195*가정!$C$15)</f>
        <v/>
      </c>
      <c r="Q195" s="9">
        <f>IF(가정!$C$5="간이과세",(G195+H195)*0.015,(G195+H195)/11-((L195+M195+N195+P195)/11)-IF(가정!$C$11="정식통관",I195*가정!$C$12,0))</f>
        <v/>
      </c>
      <c r="R195" s="9">
        <f>G195+H195-I195-L195-M195-N195-P195-Q195</f>
        <v/>
      </c>
      <c r="S195" s="9">
        <f>MAX(0,R195)*가정!$C$7</f>
        <v/>
      </c>
      <c r="T195" s="9">
        <f>G195*가정!$C$17</f>
        <v/>
      </c>
      <c r="U195" s="9">
        <f>R195-S195-T195</f>
        <v/>
      </c>
      <c r="V195" s="12">
        <f>IF(G195=0,"",U195/G195)</f>
        <v/>
      </c>
      <c r="X195" s="7" t="n"/>
      <c r="Y195" s="7" t="n"/>
      <c r="Z195" s="7" t="n"/>
      <c r="AA195" s="13" t="n"/>
      <c r="AB195" s="13" t="n"/>
      <c r="AC195" s="14" t="n"/>
      <c r="AD195" s="14" t="n"/>
      <c r="AE195" s="13" t="n"/>
      <c r="AF195" s="15">
        <f>IF((1-K195-가정!$C$16-가정!$C$17-가정!$C$27-1/11)&lt;=0,"",IFERROR((I195+L195+M195)/(1-K195-가정!$C$16-가정!$C$17-가정!$C$27-1/11),""))</f>
        <v/>
      </c>
      <c r="AG195" s="15">
        <f>IF(OR(AA195="",AF195=""),"",AA195-AF195)</f>
        <v/>
      </c>
      <c r="AH195" s="16">
        <f>IF(G195="","",IFERROR((IF(AE195="",0,가정!$C$31*MIN(1,LOG(AE195+1)/LOG(가정!$C$30)))+IF(AB195="",0,가정!$C$32*(MAX(0,1-AB195/가정!$C$29)*0.6+AC195*0.4))+IF(AD195="",0,가정!$C$33*MAX(0,1-AD195))+IF(V195="",0,가정!$C$34*MIN(1,MAX(0,(V195-가정!$C$27)/(가정!$C$28-가정!$C$27)))))/(IF(AE195="",0,가정!$C$31)+IF(AB195="",0,가정!$C$32)+IF(AD195="",0,가정!$C$33)+IF(V195="",0,가정!$C$34))*100,""))</f>
        <v/>
      </c>
      <c r="AI195" s="17">
        <f>IF(AH195="","",IF(U195&lt;=0,"역마진",IF(AH195&gt;=가정!$C$35,"GO",IF(AH195&gt;=가정!$C$36,"검토","SKIP"))))</f>
        <v/>
      </c>
    </row>
    <row r="196">
      <c r="B196" s="6" t="n">
        <v>189</v>
      </c>
      <c r="C196" s="7" t="n"/>
      <c r="E196" s="7" t="n"/>
      <c r="F196" s="7" t="n"/>
      <c r="G196" s="8" t="n"/>
      <c r="H196" s="8" t="n">
        <v>0</v>
      </c>
      <c r="I196" s="9">
        <f>J196*가정!$C$10</f>
        <v/>
      </c>
      <c r="J196" s="10" t="n"/>
      <c r="K196" s="11">
        <f>가정!$C$14</f>
        <v/>
      </c>
      <c r="L196" s="8" t="n"/>
      <c r="M196" s="8" t="n"/>
      <c r="N196" s="9">
        <f>IF(가정!$C$25="Y",가정!$C$24,G196*가정!$C$16)</f>
        <v/>
      </c>
      <c r="P196" s="9">
        <f>(G196*K196)+(H196*가정!$C$15)</f>
        <v/>
      </c>
      <c r="Q196" s="9">
        <f>IF(가정!$C$5="간이과세",(G196+H196)*0.015,(G196+H196)/11-((L196+M196+N196+P196)/11)-IF(가정!$C$11="정식통관",I196*가정!$C$12,0))</f>
        <v/>
      </c>
      <c r="R196" s="9">
        <f>G196+H196-I196-L196-M196-N196-P196-Q196</f>
        <v/>
      </c>
      <c r="S196" s="9">
        <f>MAX(0,R196)*가정!$C$7</f>
        <v/>
      </c>
      <c r="T196" s="9">
        <f>G196*가정!$C$17</f>
        <v/>
      </c>
      <c r="U196" s="9">
        <f>R196-S196-T196</f>
        <v/>
      </c>
      <c r="V196" s="12">
        <f>IF(G196=0,"",U196/G196)</f>
        <v/>
      </c>
      <c r="X196" s="7" t="n"/>
      <c r="Y196" s="7" t="n"/>
      <c r="Z196" s="7" t="n"/>
      <c r="AA196" s="13" t="n"/>
      <c r="AB196" s="13" t="n"/>
      <c r="AC196" s="14" t="n"/>
      <c r="AD196" s="14" t="n"/>
      <c r="AE196" s="13" t="n"/>
      <c r="AF196" s="15">
        <f>IF((1-K196-가정!$C$16-가정!$C$17-가정!$C$27-1/11)&lt;=0,"",IFERROR((I196+L196+M196)/(1-K196-가정!$C$16-가정!$C$17-가정!$C$27-1/11),""))</f>
        <v/>
      </c>
      <c r="AG196" s="15">
        <f>IF(OR(AA196="",AF196=""),"",AA196-AF196)</f>
        <v/>
      </c>
      <c r="AH196" s="16">
        <f>IF(G196="","",IFERROR((IF(AE196="",0,가정!$C$31*MIN(1,LOG(AE196+1)/LOG(가정!$C$30)))+IF(AB196="",0,가정!$C$32*(MAX(0,1-AB196/가정!$C$29)*0.6+AC196*0.4))+IF(AD196="",0,가정!$C$33*MAX(0,1-AD196))+IF(V196="",0,가정!$C$34*MIN(1,MAX(0,(V196-가정!$C$27)/(가정!$C$28-가정!$C$27)))))/(IF(AE196="",0,가정!$C$31)+IF(AB196="",0,가정!$C$32)+IF(AD196="",0,가정!$C$33)+IF(V196="",0,가정!$C$34))*100,""))</f>
        <v/>
      </c>
      <c r="AI196" s="17">
        <f>IF(AH196="","",IF(U196&lt;=0,"역마진",IF(AH196&gt;=가정!$C$35,"GO",IF(AH196&gt;=가정!$C$36,"검토","SKIP"))))</f>
        <v/>
      </c>
    </row>
    <row r="197">
      <c r="B197" s="6" t="n">
        <v>190</v>
      </c>
      <c r="C197" s="7" t="n"/>
      <c r="E197" s="7" t="n"/>
      <c r="F197" s="7" t="n"/>
      <c r="G197" s="8" t="n"/>
      <c r="H197" s="8" t="n">
        <v>0</v>
      </c>
      <c r="I197" s="9">
        <f>J197*가정!$C$10</f>
        <v/>
      </c>
      <c r="J197" s="10" t="n"/>
      <c r="K197" s="11">
        <f>가정!$C$14</f>
        <v/>
      </c>
      <c r="L197" s="8" t="n"/>
      <c r="M197" s="8" t="n"/>
      <c r="N197" s="9">
        <f>IF(가정!$C$25="Y",가정!$C$24,G197*가정!$C$16)</f>
        <v/>
      </c>
      <c r="P197" s="9">
        <f>(G197*K197)+(H197*가정!$C$15)</f>
        <v/>
      </c>
      <c r="Q197" s="9">
        <f>IF(가정!$C$5="간이과세",(G197+H197)*0.015,(G197+H197)/11-((L197+M197+N197+P197)/11)-IF(가정!$C$11="정식통관",I197*가정!$C$12,0))</f>
        <v/>
      </c>
      <c r="R197" s="9">
        <f>G197+H197-I197-L197-M197-N197-P197-Q197</f>
        <v/>
      </c>
      <c r="S197" s="9">
        <f>MAX(0,R197)*가정!$C$7</f>
        <v/>
      </c>
      <c r="T197" s="9">
        <f>G197*가정!$C$17</f>
        <v/>
      </c>
      <c r="U197" s="9">
        <f>R197-S197-T197</f>
        <v/>
      </c>
      <c r="V197" s="12">
        <f>IF(G197=0,"",U197/G197)</f>
        <v/>
      </c>
      <c r="X197" s="7" t="n"/>
      <c r="Y197" s="7" t="n"/>
      <c r="Z197" s="7" t="n"/>
      <c r="AA197" s="13" t="n"/>
      <c r="AB197" s="13" t="n"/>
      <c r="AC197" s="14" t="n"/>
      <c r="AD197" s="14" t="n"/>
      <c r="AE197" s="13" t="n"/>
      <c r="AF197" s="15">
        <f>IF((1-K197-가정!$C$16-가정!$C$17-가정!$C$27-1/11)&lt;=0,"",IFERROR((I197+L197+M197)/(1-K197-가정!$C$16-가정!$C$17-가정!$C$27-1/11),""))</f>
        <v/>
      </c>
      <c r="AG197" s="15">
        <f>IF(OR(AA197="",AF197=""),"",AA197-AF197)</f>
        <v/>
      </c>
      <c r="AH197" s="16">
        <f>IF(G197="","",IFERROR((IF(AE197="",0,가정!$C$31*MIN(1,LOG(AE197+1)/LOG(가정!$C$30)))+IF(AB197="",0,가정!$C$32*(MAX(0,1-AB197/가정!$C$29)*0.6+AC197*0.4))+IF(AD197="",0,가정!$C$33*MAX(0,1-AD197))+IF(V197="",0,가정!$C$34*MIN(1,MAX(0,(V197-가정!$C$27)/(가정!$C$28-가정!$C$27)))))/(IF(AE197="",0,가정!$C$31)+IF(AB197="",0,가정!$C$32)+IF(AD197="",0,가정!$C$33)+IF(V197="",0,가정!$C$34))*100,""))</f>
        <v/>
      </c>
      <c r="AI197" s="17">
        <f>IF(AH197="","",IF(U197&lt;=0,"역마진",IF(AH197&gt;=가정!$C$35,"GO",IF(AH197&gt;=가정!$C$36,"검토","SKIP"))))</f>
        <v/>
      </c>
    </row>
    <row r="198">
      <c r="B198" s="6" t="n">
        <v>191</v>
      </c>
      <c r="C198" s="7" t="n"/>
      <c r="E198" s="7" t="n"/>
      <c r="F198" s="7" t="n"/>
      <c r="G198" s="8" t="n"/>
      <c r="H198" s="8" t="n">
        <v>0</v>
      </c>
      <c r="I198" s="9">
        <f>J198*가정!$C$10</f>
        <v/>
      </c>
      <c r="J198" s="10" t="n"/>
      <c r="K198" s="11">
        <f>가정!$C$14</f>
        <v/>
      </c>
      <c r="L198" s="8" t="n"/>
      <c r="M198" s="8" t="n"/>
      <c r="N198" s="9">
        <f>IF(가정!$C$25="Y",가정!$C$24,G198*가정!$C$16)</f>
        <v/>
      </c>
      <c r="P198" s="9">
        <f>(G198*K198)+(H198*가정!$C$15)</f>
        <v/>
      </c>
      <c r="Q198" s="9">
        <f>IF(가정!$C$5="간이과세",(G198+H198)*0.015,(G198+H198)/11-((L198+M198+N198+P198)/11)-IF(가정!$C$11="정식통관",I198*가정!$C$12,0))</f>
        <v/>
      </c>
      <c r="R198" s="9">
        <f>G198+H198-I198-L198-M198-N198-P198-Q198</f>
        <v/>
      </c>
      <c r="S198" s="9">
        <f>MAX(0,R198)*가정!$C$7</f>
        <v/>
      </c>
      <c r="T198" s="9">
        <f>G198*가정!$C$17</f>
        <v/>
      </c>
      <c r="U198" s="9">
        <f>R198-S198-T198</f>
        <v/>
      </c>
      <c r="V198" s="12">
        <f>IF(G198=0,"",U198/G198)</f>
        <v/>
      </c>
      <c r="X198" s="7" t="n"/>
      <c r="Y198" s="7" t="n"/>
      <c r="Z198" s="7" t="n"/>
      <c r="AA198" s="13" t="n"/>
      <c r="AB198" s="13" t="n"/>
      <c r="AC198" s="14" t="n"/>
      <c r="AD198" s="14" t="n"/>
      <c r="AE198" s="13" t="n"/>
      <c r="AF198" s="15">
        <f>IF((1-K198-가정!$C$16-가정!$C$17-가정!$C$27-1/11)&lt;=0,"",IFERROR((I198+L198+M198)/(1-K198-가정!$C$16-가정!$C$17-가정!$C$27-1/11),""))</f>
        <v/>
      </c>
      <c r="AG198" s="15">
        <f>IF(OR(AA198="",AF198=""),"",AA198-AF198)</f>
        <v/>
      </c>
      <c r="AH198" s="16">
        <f>IF(G198="","",IFERROR((IF(AE198="",0,가정!$C$31*MIN(1,LOG(AE198+1)/LOG(가정!$C$30)))+IF(AB198="",0,가정!$C$32*(MAX(0,1-AB198/가정!$C$29)*0.6+AC198*0.4))+IF(AD198="",0,가정!$C$33*MAX(0,1-AD198))+IF(V198="",0,가정!$C$34*MIN(1,MAX(0,(V198-가정!$C$27)/(가정!$C$28-가정!$C$27)))))/(IF(AE198="",0,가정!$C$31)+IF(AB198="",0,가정!$C$32)+IF(AD198="",0,가정!$C$33)+IF(V198="",0,가정!$C$34))*100,""))</f>
        <v/>
      </c>
      <c r="AI198" s="17">
        <f>IF(AH198="","",IF(U198&lt;=0,"역마진",IF(AH198&gt;=가정!$C$35,"GO",IF(AH198&gt;=가정!$C$36,"검토","SKIP"))))</f>
        <v/>
      </c>
    </row>
    <row r="199">
      <c r="B199" s="6" t="n">
        <v>192</v>
      </c>
      <c r="C199" s="7" t="n"/>
      <c r="E199" s="7" t="n"/>
      <c r="F199" s="7" t="n"/>
      <c r="G199" s="8" t="n"/>
      <c r="H199" s="8" t="n">
        <v>0</v>
      </c>
      <c r="I199" s="9">
        <f>J199*가정!$C$10</f>
        <v/>
      </c>
      <c r="J199" s="10" t="n"/>
      <c r="K199" s="11">
        <f>가정!$C$14</f>
        <v/>
      </c>
      <c r="L199" s="8" t="n"/>
      <c r="M199" s="8" t="n"/>
      <c r="N199" s="9">
        <f>IF(가정!$C$25="Y",가정!$C$24,G199*가정!$C$16)</f>
        <v/>
      </c>
      <c r="P199" s="9">
        <f>(G199*K199)+(H199*가정!$C$15)</f>
        <v/>
      </c>
      <c r="Q199" s="9">
        <f>IF(가정!$C$5="간이과세",(G199+H199)*0.015,(G199+H199)/11-((L199+M199+N199+P199)/11)-IF(가정!$C$11="정식통관",I199*가정!$C$12,0))</f>
        <v/>
      </c>
      <c r="R199" s="9">
        <f>G199+H199-I199-L199-M199-N199-P199-Q199</f>
        <v/>
      </c>
      <c r="S199" s="9">
        <f>MAX(0,R199)*가정!$C$7</f>
        <v/>
      </c>
      <c r="T199" s="9">
        <f>G199*가정!$C$17</f>
        <v/>
      </c>
      <c r="U199" s="9">
        <f>R199-S199-T199</f>
        <v/>
      </c>
      <c r="V199" s="12">
        <f>IF(G199=0,"",U199/G199)</f>
        <v/>
      </c>
      <c r="X199" s="7" t="n"/>
      <c r="Y199" s="7" t="n"/>
      <c r="Z199" s="7" t="n"/>
      <c r="AA199" s="13" t="n"/>
      <c r="AB199" s="13" t="n"/>
      <c r="AC199" s="14" t="n"/>
      <c r="AD199" s="14" t="n"/>
      <c r="AE199" s="13" t="n"/>
      <c r="AF199" s="15">
        <f>IF((1-K199-가정!$C$16-가정!$C$17-가정!$C$27-1/11)&lt;=0,"",IFERROR((I199+L199+M199)/(1-K199-가정!$C$16-가정!$C$17-가정!$C$27-1/11),""))</f>
        <v/>
      </c>
      <c r="AG199" s="15">
        <f>IF(OR(AA199="",AF199=""),"",AA199-AF199)</f>
        <v/>
      </c>
      <c r="AH199" s="16">
        <f>IF(G199="","",IFERROR((IF(AE199="",0,가정!$C$31*MIN(1,LOG(AE199+1)/LOG(가정!$C$30)))+IF(AB199="",0,가정!$C$32*(MAX(0,1-AB199/가정!$C$29)*0.6+AC199*0.4))+IF(AD199="",0,가정!$C$33*MAX(0,1-AD199))+IF(V199="",0,가정!$C$34*MIN(1,MAX(0,(V199-가정!$C$27)/(가정!$C$28-가정!$C$27)))))/(IF(AE199="",0,가정!$C$31)+IF(AB199="",0,가정!$C$32)+IF(AD199="",0,가정!$C$33)+IF(V199="",0,가정!$C$34))*100,""))</f>
        <v/>
      </c>
      <c r="AI199" s="17">
        <f>IF(AH199="","",IF(U199&lt;=0,"역마진",IF(AH199&gt;=가정!$C$35,"GO",IF(AH199&gt;=가정!$C$36,"검토","SKIP"))))</f>
        <v/>
      </c>
    </row>
    <row r="200">
      <c r="B200" s="6" t="n">
        <v>193</v>
      </c>
      <c r="C200" s="7" t="n"/>
      <c r="E200" s="7" t="n"/>
      <c r="F200" s="7" t="n"/>
      <c r="G200" s="8" t="n"/>
      <c r="H200" s="8" t="n">
        <v>0</v>
      </c>
      <c r="I200" s="9">
        <f>J200*가정!$C$10</f>
        <v/>
      </c>
      <c r="J200" s="10" t="n"/>
      <c r="K200" s="11">
        <f>가정!$C$14</f>
        <v/>
      </c>
      <c r="L200" s="8" t="n"/>
      <c r="M200" s="8" t="n"/>
      <c r="N200" s="9">
        <f>IF(가정!$C$25="Y",가정!$C$24,G200*가정!$C$16)</f>
        <v/>
      </c>
      <c r="P200" s="9">
        <f>(G200*K200)+(H200*가정!$C$15)</f>
        <v/>
      </c>
      <c r="Q200" s="9">
        <f>IF(가정!$C$5="간이과세",(G200+H200)*0.015,(G200+H200)/11-((L200+M200+N200+P200)/11)-IF(가정!$C$11="정식통관",I200*가정!$C$12,0))</f>
        <v/>
      </c>
      <c r="R200" s="9">
        <f>G200+H200-I200-L200-M200-N200-P200-Q200</f>
        <v/>
      </c>
      <c r="S200" s="9">
        <f>MAX(0,R200)*가정!$C$7</f>
        <v/>
      </c>
      <c r="T200" s="9">
        <f>G200*가정!$C$17</f>
        <v/>
      </c>
      <c r="U200" s="9">
        <f>R200-S200-T200</f>
        <v/>
      </c>
      <c r="V200" s="12">
        <f>IF(G200=0,"",U200/G200)</f>
        <v/>
      </c>
      <c r="X200" s="7" t="n"/>
      <c r="Y200" s="7" t="n"/>
      <c r="Z200" s="7" t="n"/>
      <c r="AA200" s="13" t="n"/>
      <c r="AB200" s="13" t="n"/>
      <c r="AC200" s="14" t="n"/>
      <c r="AD200" s="14" t="n"/>
      <c r="AE200" s="13" t="n"/>
      <c r="AF200" s="15">
        <f>IF((1-K200-가정!$C$16-가정!$C$17-가정!$C$27-1/11)&lt;=0,"",IFERROR((I200+L200+M200)/(1-K200-가정!$C$16-가정!$C$17-가정!$C$27-1/11),""))</f>
        <v/>
      </c>
      <c r="AG200" s="15">
        <f>IF(OR(AA200="",AF200=""),"",AA200-AF200)</f>
        <v/>
      </c>
      <c r="AH200" s="16">
        <f>IF(G200="","",IFERROR((IF(AE200="",0,가정!$C$31*MIN(1,LOG(AE200+1)/LOG(가정!$C$30)))+IF(AB200="",0,가정!$C$32*(MAX(0,1-AB200/가정!$C$29)*0.6+AC200*0.4))+IF(AD200="",0,가정!$C$33*MAX(0,1-AD200))+IF(V200="",0,가정!$C$34*MIN(1,MAX(0,(V200-가정!$C$27)/(가정!$C$28-가정!$C$27)))))/(IF(AE200="",0,가정!$C$31)+IF(AB200="",0,가정!$C$32)+IF(AD200="",0,가정!$C$33)+IF(V200="",0,가정!$C$34))*100,""))</f>
        <v/>
      </c>
      <c r="AI200" s="17">
        <f>IF(AH200="","",IF(U200&lt;=0,"역마진",IF(AH200&gt;=가정!$C$35,"GO",IF(AH200&gt;=가정!$C$36,"검토","SKIP"))))</f>
        <v/>
      </c>
    </row>
    <row r="201">
      <c r="B201" s="6" t="n">
        <v>194</v>
      </c>
      <c r="C201" s="7" t="n"/>
      <c r="E201" s="7" t="n"/>
      <c r="F201" s="7" t="n"/>
      <c r="G201" s="8" t="n"/>
      <c r="H201" s="8" t="n">
        <v>0</v>
      </c>
      <c r="I201" s="9">
        <f>J201*가정!$C$10</f>
        <v/>
      </c>
      <c r="J201" s="10" t="n"/>
      <c r="K201" s="11">
        <f>가정!$C$14</f>
        <v/>
      </c>
      <c r="L201" s="8" t="n"/>
      <c r="M201" s="8" t="n"/>
      <c r="N201" s="9">
        <f>IF(가정!$C$25="Y",가정!$C$24,G201*가정!$C$16)</f>
        <v/>
      </c>
      <c r="P201" s="9">
        <f>(G201*K201)+(H201*가정!$C$15)</f>
        <v/>
      </c>
      <c r="Q201" s="9">
        <f>IF(가정!$C$5="간이과세",(G201+H201)*0.015,(G201+H201)/11-((L201+M201+N201+P201)/11)-IF(가정!$C$11="정식통관",I201*가정!$C$12,0))</f>
        <v/>
      </c>
      <c r="R201" s="9">
        <f>G201+H201-I201-L201-M201-N201-P201-Q201</f>
        <v/>
      </c>
      <c r="S201" s="9">
        <f>MAX(0,R201)*가정!$C$7</f>
        <v/>
      </c>
      <c r="T201" s="9">
        <f>G201*가정!$C$17</f>
        <v/>
      </c>
      <c r="U201" s="9">
        <f>R201-S201-T201</f>
        <v/>
      </c>
      <c r="V201" s="12">
        <f>IF(G201=0,"",U201/G201)</f>
        <v/>
      </c>
      <c r="X201" s="7" t="n"/>
      <c r="Y201" s="7" t="n"/>
      <c r="Z201" s="7" t="n"/>
      <c r="AA201" s="13" t="n"/>
      <c r="AB201" s="13" t="n"/>
      <c r="AC201" s="14" t="n"/>
      <c r="AD201" s="14" t="n"/>
      <c r="AE201" s="13" t="n"/>
      <c r="AF201" s="15">
        <f>IF((1-K201-가정!$C$16-가정!$C$17-가정!$C$27-1/11)&lt;=0,"",IFERROR((I201+L201+M201)/(1-K201-가정!$C$16-가정!$C$17-가정!$C$27-1/11),""))</f>
        <v/>
      </c>
      <c r="AG201" s="15">
        <f>IF(OR(AA201="",AF201=""),"",AA201-AF201)</f>
        <v/>
      </c>
      <c r="AH201" s="16">
        <f>IF(G201="","",IFERROR((IF(AE201="",0,가정!$C$31*MIN(1,LOG(AE201+1)/LOG(가정!$C$30)))+IF(AB201="",0,가정!$C$32*(MAX(0,1-AB201/가정!$C$29)*0.6+AC201*0.4))+IF(AD201="",0,가정!$C$33*MAX(0,1-AD201))+IF(V201="",0,가정!$C$34*MIN(1,MAX(0,(V201-가정!$C$27)/(가정!$C$28-가정!$C$27)))))/(IF(AE201="",0,가정!$C$31)+IF(AB201="",0,가정!$C$32)+IF(AD201="",0,가정!$C$33)+IF(V201="",0,가정!$C$34))*100,""))</f>
        <v/>
      </c>
      <c r="AI201" s="17">
        <f>IF(AH201="","",IF(U201&lt;=0,"역마진",IF(AH201&gt;=가정!$C$35,"GO",IF(AH201&gt;=가정!$C$36,"검토","SKIP"))))</f>
        <v/>
      </c>
    </row>
    <row r="202">
      <c r="B202" s="6" t="n">
        <v>195</v>
      </c>
      <c r="C202" s="7" t="n"/>
      <c r="E202" s="7" t="n"/>
      <c r="F202" s="7" t="n"/>
      <c r="G202" s="8" t="n"/>
      <c r="H202" s="8" t="n">
        <v>0</v>
      </c>
      <c r="I202" s="9">
        <f>J202*가정!$C$10</f>
        <v/>
      </c>
      <c r="J202" s="10" t="n"/>
      <c r="K202" s="11">
        <f>가정!$C$14</f>
        <v/>
      </c>
      <c r="L202" s="8" t="n"/>
      <c r="M202" s="8" t="n"/>
      <c r="N202" s="9">
        <f>IF(가정!$C$25="Y",가정!$C$24,G202*가정!$C$16)</f>
        <v/>
      </c>
      <c r="P202" s="9">
        <f>(G202*K202)+(H202*가정!$C$15)</f>
        <v/>
      </c>
      <c r="Q202" s="9">
        <f>IF(가정!$C$5="간이과세",(G202+H202)*0.015,(G202+H202)/11-((L202+M202+N202+P202)/11)-IF(가정!$C$11="정식통관",I202*가정!$C$12,0))</f>
        <v/>
      </c>
      <c r="R202" s="9">
        <f>G202+H202-I202-L202-M202-N202-P202-Q202</f>
        <v/>
      </c>
      <c r="S202" s="9">
        <f>MAX(0,R202)*가정!$C$7</f>
        <v/>
      </c>
      <c r="T202" s="9">
        <f>G202*가정!$C$17</f>
        <v/>
      </c>
      <c r="U202" s="9">
        <f>R202-S202-T202</f>
        <v/>
      </c>
      <c r="V202" s="12">
        <f>IF(G202=0,"",U202/G202)</f>
        <v/>
      </c>
      <c r="X202" s="7" t="n"/>
      <c r="Y202" s="7" t="n"/>
      <c r="Z202" s="7" t="n"/>
      <c r="AA202" s="13" t="n"/>
      <c r="AB202" s="13" t="n"/>
      <c r="AC202" s="14" t="n"/>
      <c r="AD202" s="14" t="n"/>
      <c r="AE202" s="13" t="n"/>
      <c r="AF202" s="15">
        <f>IF((1-K202-가정!$C$16-가정!$C$17-가정!$C$27-1/11)&lt;=0,"",IFERROR((I202+L202+M202)/(1-K202-가정!$C$16-가정!$C$17-가정!$C$27-1/11),""))</f>
        <v/>
      </c>
      <c r="AG202" s="15">
        <f>IF(OR(AA202="",AF202=""),"",AA202-AF202)</f>
        <v/>
      </c>
      <c r="AH202" s="16">
        <f>IF(G202="","",IFERROR((IF(AE202="",0,가정!$C$31*MIN(1,LOG(AE202+1)/LOG(가정!$C$30)))+IF(AB202="",0,가정!$C$32*(MAX(0,1-AB202/가정!$C$29)*0.6+AC202*0.4))+IF(AD202="",0,가정!$C$33*MAX(0,1-AD202))+IF(V202="",0,가정!$C$34*MIN(1,MAX(0,(V202-가정!$C$27)/(가정!$C$28-가정!$C$27)))))/(IF(AE202="",0,가정!$C$31)+IF(AB202="",0,가정!$C$32)+IF(AD202="",0,가정!$C$33)+IF(V202="",0,가정!$C$34))*100,""))</f>
        <v/>
      </c>
      <c r="AI202" s="17">
        <f>IF(AH202="","",IF(U202&lt;=0,"역마진",IF(AH202&gt;=가정!$C$35,"GO",IF(AH202&gt;=가정!$C$36,"검토","SKIP"))))</f>
        <v/>
      </c>
    </row>
    <row r="203">
      <c r="B203" s="6" t="n">
        <v>196</v>
      </c>
      <c r="C203" s="7" t="n"/>
      <c r="E203" s="7" t="n"/>
      <c r="F203" s="7" t="n"/>
      <c r="G203" s="8" t="n"/>
      <c r="H203" s="8" t="n">
        <v>0</v>
      </c>
      <c r="I203" s="9">
        <f>J203*가정!$C$10</f>
        <v/>
      </c>
      <c r="J203" s="10" t="n"/>
      <c r="K203" s="11">
        <f>가정!$C$14</f>
        <v/>
      </c>
      <c r="L203" s="8" t="n"/>
      <c r="M203" s="8" t="n"/>
      <c r="N203" s="9">
        <f>IF(가정!$C$25="Y",가정!$C$24,G203*가정!$C$16)</f>
        <v/>
      </c>
      <c r="P203" s="9">
        <f>(G203*K203)+(H203*가정!$C$15)</f>
        <v/>
      </c>
      <c r="Q203" s="9">
        <f>IF(가정!$C$5="간이과세",(G203+H203)*0.015,(G203+H203)/11-((L203+M203+N203+P203)/11)-IF(가정!$C$11="정식통관",I203*가정!$C$12,0))</f>
        <v/>
      </c>
      <c r="R203" s="9">
        <f>G203+H203-I203-L203-M203-N203-P203-Q203</f>
        <v/>
      </c>
      <c r="S203" s="9">
        <f>MAX(0,R203)*가정!$C$7</f>
        <v/>
      </c>
      <c r="T203" s="9">
        <f>G203*가정!$C$17</f>
        <v/>
      </c>
      <c r="U203" s="9">
        <f>R203-S203-T203</f>
        <v/>
      </c>
      <c r="V203" s="12">
        <f>IF(G203=0,"",U203/G203)</f>
        <v/>
      </c>
      <c r="X203" s="7" t="n"/>
      <c r="Y203" s="7" t="n"/>
      <c r="Z203" s="7" t="n"/>
      <c r="AA203" s="13" t="n"/>
      <c r="AB203" s="13" t="n"/>
      <c r="AC203" s="14" t="n"/>
      <c r="AD203" s="14" t="n"/>
      <c r="AE203" s="13" t="n"/>
      <c r="AF203" s="15">
        <f>IF((1-K203-가정!$C$16-가정!$C$17-가정!$C$27-1/11)&lt;=0,"",IFERROR((I203+L203+M203)/(1-K203-가정!$C$16-가정!$C$17-가정!$C$27-1/11),""))</f>
        <v/>
      </c>
      <c r="AG203" s="15">
        <f>IF(OR(AA203="",AF203=""),"",AA203-AF203)</f>
        <v/>
      </c>
      <c r="AH203" s="16">
        <f>IF(G203="","",IFERROR((IF(AE203="",0,가정!$C$31*MIN(1,LOG(AE203+1)/LOG(가정!$C$30)))+IF(AB203="",0,가정!$C$32*(MAX(0,1-AB203/가정!$C$29)*0.6+AC203*0.4))+IF(AD203="",0,가정!$C$33*MAX(0,1-AD203))+IF(V203="",0,가정!$C$34*MIN(1,MAX(0,(V203-가정!$C$27)/(가정!$C$28-가정!$C$27)))))/(IF(AE203="",0,가정!$C$31)+IF(AB203="",0,가정!$C$32)+IF(AD203="",0,가정!$C$33)+IF(V203="",0,가정!$C$34))*100,""))</f>
        <v/>
      </c>
      <c r="AI203" s="17">
        <f>IF(AH203="","",IF(U203&lt;=0,"역마진",IF(AH203&gt;=가정!$C$35,"GO",IF(AH203&gt;=가정!$C$36,"검토","SKIP"))))</f>
        <v/>
      </c>
    </row>
    <row r="204">
      <c r="B204" s="6" t="n">
        <v>197</v>
      </c>
      <c r="C204" s="7" t="n"/>
      <c r="E204" s="7" t="n"/>
      <c r="F204" s="7" t="n"/>
      <c r="G204" s="8" t="n"/>
      <c r="H204" s="8" t="n">
        <v>0</v>
      </c>
      <c r="I204" s="9">
        <f>J204*가정!$C$10</f>
        <v/>
      </c>
      <c r="J204" s="10" t="n"/>
      <c r="K204" s="11">
        <f>가정!$C$14</f>
        <v/>
      </c>
      <c r="L204" s="8" t="n"/>
      <c r="M204" s="8" t="n"/>
      <c r="N204" s="9">
        <f>IF(가정!$C$25="Y",가정!$C$24,G204*가정!$C$16)</f>
        <v/>
      </c>
      <c r="P204" s="9">
        <f>(G204*K204)+(H204*가정!$C$15)</f>
        <v/>
      </c>
      <c r="Q204" s="9">
        <f>IF(가정!$C$5="간이과세",(G204+H204)*0.015,(G204+H204)/11-((L204+M204+N204+P204)/11)-IF(가정!$C$11="정식통관",I204*가정!$C$12,0))</f>
        <v/>
      </c>
      <c r="R204" s="9">
        <f>G204+H204-I204-L204-M204-N204-P204-Q204</f>
        <v/>
      </c>
      <c r="S204" s="9">
        <f>MAX(0,R204)*가정!$C$7</f>
        <v/>
      </c>
      <c r="T204" s="9">
        <f>G204*가정!$C$17</f>
        <v/>
      </c>
      <c r="U204" s="9">
        <f>R204-S204-T204</f>
        <v/>
      </c>
      <c r="V204" s="12">
        <f>IF(G204=0,"",U204/G204)</f>
        <v/>
      </c>
      <c r="X204" s="7" t="n"/>
      <c r="Y204" s="7" t="n"/>
      <c r="Z204" s="7" t="n"/>
      <c r="AA204" s="13" t="n"/>
      <c r="AB204" s="13" t="n"/>
      <c r="AC204" s="14" t="n"/>
      <c r="AD204" s="14" t="n"/>
      <c r="AE204" s="13" t="n"/>
      <c r="AF204" s="15">
        <f>IF((1-K204-가정!$C$16-가정!$C$17-가정!$C$27-1/11)&lt;=0,"",IFERROR((I204+L204+M204)/(1-K204-가정!$C$16-가정!$C$17-가정!$C$27-1/11),""))</f>
        <v/>
      </c>
      <c r="AG204" s="15">
        <f>IF(OR(AA204="",AF204=""),"",AA204-AF204)</f>
        <v/>
      </c>
      <c r="AH204" s="16">
        <f>IF(G204="","",IFERROR((IF(AE204="",0,가정!$C$31*MIN(1,LOG(AE204+1)/LOG(가정!$C$30)))+IF(AB204="",0,가정!$C$32*(MAX(0,1-AB204/가정!$C$29)*0.6+AC204*0.4))+IF(AD204="",0,가정!$C$33*MAX(0,1-AD204))+IF(V204="",0,가정!$C$34*MIN(1,MAX(0,(V204-가정!$C$27)/(가정!$C$28-가정!$C$27)))))/(IF(AE204="",0,가정!$C$31)+IF(AB204="",0,가정!$C$32)+IF(AD204="",0,가정!$C$33)+IF(V204="",0,가정!$C$34))*100,""))</f>
        <v/>
      </c>
      <c r="AI204" s="17">
        <f>IF(AH204="","",IF(U204&lt;=0,"역마진",IF(AH204&gt;=가정!$C$35,"GO",IF(AH204&gt;=가정!$C$36,"검토","SKIP"))))</f>
        <v/>
      </c>
    </row>
    <row r="205">
      <c r="B205" s="6" t="n">
        <v>198</v>
      </c>
      <c r="C205" s="7" t="n"/>
      <c r="E205" s="7" t="n"/>
      <c r="F205" s="7" t="n"/>
      <c r="G205" s="8" t="n"/>
      <c r="H205" s="8" t="n">
        <v>0</v>
      </c>
      <c r="I205" s="9">
        <f>J205*가정!$C$10</f>
        <v/>
      </c>
      <c r="J205" s="10" t="n"/>
      <c r="K205" s="11">
        <f>가정!$C$14</f>
        <v/>
      </c>
      <c r="L205" s="8" t="n"/>
      <c r="M205" s="8" t="n"/>
      <c r="N205" s="9">
        <f>IF(가정!$C$25="Y",가정!$C$24,G205*가정!$C$16)</f>
        <v/>
      </c>
      <c r="P205" s="9">
        <f>(G205*K205)+(H205*가정!$C$15)</f>
        <v/>
      </c>
      <c r="Q205" s="9">
        <f>IF(가정!$C$5="간이과세",(G205+H205)*0.015,(G205+H205)/11-((L205+M205+N205+P205)/11)-IF(가정!$C$11="정식통관",I205*가정!$C$12,0))</f>
        <v/>
      </c>
      <c r="R205" s="9">
        <f>G205+H205-I205-L205-M205-N205-P205-Q205</f>
        <v/>
      </c>
      <c r="S205" s="9">
        <f>MAX(0,R205)*가정!$C$7</f>
        <v/>
      </c>
      <c r="T205" s="9">
        <f>G205*가정!$C$17</f>
        <v/>
      </c>
      <c r="U205" s="9">
        <f>R205-S205-T205</f>
        <v/>
      </c>
      <c r="V205" s="12">
        <f>IF(G205=0,"",U205/G205)</f>
        <v/>
      </c>
      <c r="X205" s="7" t="n"/>
      <c r="Y205" s="7" t="n"/>
      <c r="Z205" s="7" t="n"/>
      <c r="AA205" s="13" t="n"/>
      <c r="AB205" s="13" t="n"/>
      <c r="AC205" s="14" t="n"/>
      <c r="AD205" s="14" t="n"/>
      <c r="AE205" s="13" t="n"/>
      <c r="AF205" s="15">
        <f>IF((1-K205-가정!$C$16-가정!$C$17-가정!$C$27-1/11)&lt;=0,"",IFERROR((I205+L205+M205)/(1-K205-가정!$C$16-가정!$C$17-가정!$C$27-1/11),""))</f>
        <v/>
      </c>
      <c r="AG205" s="15">
        <f>IF(OR(AA205="",AF205=""),"",AA205-AF205)</f>
        <v/>
      </c>
      <c r="AH205" s="16">
        <f>IF(G205="","",IFERROR((IF(AE205="",0,가정!$C$31*MIN(1,LOG(AE205+1)/LOG(가정!$C$30)))+IF(AB205="",0,가정!$C$32*(MAX(0,1-AB205/가정!$C$29)*0.6+AC205*0.4))+IF(AD205="",0,가정!$C$33*MAX(0,1-AD205))+IF(V205="",0,가정!$C$34*MIN(1,MAX(0,(V205-가정!$C$27)/(가정!$C$28-가정!$C$27)))))/(IF(AE205="",0,가정!$C$31)+IF(AB205="",0,가정!$C$32)+IF(AD205="",0,가정!$C$33)+IF(V205="",0,가정!$C$34))*100,""))</f>
        <v/>
      </c>
      <c r="AI205" s="17">
        <f>IF(AH205="","",IF(U205&lt;=0,"역마진",IF(AH205&gt;=가정!$C$35,"GO",IF(AH205&gt;=가정!$C$36,"검토","SKIP"))))</f>
        <v/>
      </c>
    </row>
    <row r="206">
      <c r="B206" s="6" t="n">
        <v>199</v>
      </c>
      <c r="C206" s="7" t="n"/>
      <c r="E206" s="7" t="n"/>
      <c r="F206" s="7" t="n"/>
      <c r="G206" s="8" t="n"/>
      <c r="H206" s="8" t="n">
        <v>0</v>
      </c>
      <c r="I206" s="9">
        <f>J206*가정!$C$10</f>
        <v/>
      </c>
      <c r="J206" s="10" t="n"/>
      <c r="K206" s="11">
        <f>가정!$C$14</f>
        <v/>
      </c>
      <c r="L206" s="8" t="n"/>
      <c r="M206" s="8" t="n"/>
      <c r="N206" s="9">
        <f>IF(가정!$C$25="Y",가정!$C$24,G206*가정!$C$16)</f>
        <v/>
      </c>
      <c r="P206" s="9">
        <f>(G206*K206)+(H206*가정!$C$15)</f>
        <v/>
      </c>
      <c r="Q206" s="9">
        <f>IF(가정!$C$5="간이과세",(G206+H206)*0.015,(G206+H206)/11-((L206+M206+N206+P206)/11)-IF(가정!$C$11="정식통관",I206*가정!$C$12,0))</f>
        <v/>
      </c>
      <c r="R206" s="9">
        <f>G206+H206-I206-L206-M206-N206-P206-Q206</f>
        <v/>
      </c>
      <c r="S206" s="9">
        <f>MAX(0,R206)*가정!$C$7</f>
        <v/>
      </c>
      <c r="T206" s="9">
        <f>G206*가정!$C$17</f>
        <v/>
      </c>
      <c r="U206" s="9">
        <f>R206-S206-T206</f>
        <v/>
      </c>
      <c r="V206" s="12">
        <f>IF(G206=0,"",U206/G206)</f>
        <v/>
      </c>
      <c r="X206" s="7" t="n"/>
      <c r="Y206" s="7" t="n"/>
      <c r="Z206" s="7" t="n"/>
      <c r="AA206" s="13" t="n"/>
      <c r="AB206" s="13" t="n"/>
      <c r="AC206" s="14" t="n"/>
      <c r="AD206" s="14" t="n"/>
      <c r="AE206" s="13" t="n"/>
      <c r="AF206" s="15">
        <f>IF((1-K206-가정!$C$16-가정!$C$17-가정!$C$27-1/11)&lt;=0,"",IFERROR((I206+L206+M206)/(1-K206-가정!$C$16-가정!$C$17-가정!$C$27-1/11),""))</f>
        <v/>
      </c>
      <c r="AG206" s="15">
        <f>IF(OR(AA206="",AF206=""),"",AA206-AF206)</f>
        <v/>
      </c>
      <c r="AH206" s="16">
        <f>IF(G206="","",IFERROR((IF(AE206="",0,가정!$C$31*MIN(1,LOG(AE206+1)/LOG(가정!$C$30)))+IF(AB206="",0,가정!$C$32*(MAX(0,1-AB206/가정!$C$29)*0.6+AC206*0.4))+IF(AD206="",0,가정!$C$33*MAX(0,1-AD206))+IF(V206="",0,가정!$C$34*MIN(1,MAX(0,(V206-가정!$C$27)/(가정!$C$28-가정!$C$27)))))/(IF(AE206="",0,가정!$C$31)+IF(AB206="",0,가정!$C$32)+IF(AD206="",0,가정!$C$33)+IF(V206="",0,가정!$C$34))*100,""))</f>
        <v/>
      </c>
      <c r="AI206" s="17">
        <f>IF(AH206="","",IF(U206&lt;=0,"역마진",IF(AH206&gt;=가정!$C$35,"GO",IF(AH206&gt;=가정!$C$36,"검토","SKIP"))))</f>
        <v/>
      </c>
    </row>
    <row r="207">
      <c r="B207" s="6" t="n">
        <v>200</v>
      </c>
      <c r="C207" s="7" t="n"/>
      <c r="E207" s="7" t="n"/>
      <c r="F207" s="7" t="n"/>
      <c r="G207" s="8" t="n"/>
      <c r="H207" s="8" t="n">
        <v>0</v>
      </c>
      <c r="I207" s="9">
        <f>J207*가정!$C$10</f>
        <v/>
      </c>
      <c r="J207" s="10" t="n"/>
      <c r="K207" s="11">
        <f>가정!$C$14</f>
        <v/>
      </c>
      <c r="L207" s="8" t="n"/>
      <c r="M207" s="8" t="n"/>
      <c r="N207" s="9">
        <f>IF(가정!$C$25="Y",가정!$C$24,G207*가정!$C$16)</f>
        <v/>
      </c>
      <c r="P207" s="9">
        <f>(G207*K207)+(H207*가정!$C$15)</f>
        <v/>
      </c>
      <c r="Q207" s="9">
        <f>IF(가정!$C$5="간이과세",(G207+H207)*0.015,(G207+H207)/11-((L207+M207+N207+P207)/11)-IF(가정!$C$11="정식통관",I207*가정!$C$12,0))</f>
        <v/>
      </c>
      <c r="R207" s="9">
        <f>G207+H207-I207-L207-M207-N207-P207-Q207</f>
        <v/>
      </c>
      <c r="S207" s="9">
        <f>MAX(0,R207)*가정!$C$7</f>
        <v/>
      </c>
      <c r="T207" s="9">
        <f>G207*가정!$C$17</f>
        <v/>
      </c>
      <c r="U207" s="9">
        <f>R207-S207-T207</f>
        <v/>
      </c>
      <c r="V207" s="12">
        <f>IF(G207=0,"",U207/G207)</f>
        <v/>
      </c>
      <c r="X207" s="7" t="n"/>
      <c r="Y207" s="7" t="n"/>
      <c r="Z207" s="7" t="n"/>
      <c r="AA207" s="13" t="n"/>
      <c r="AB207" s="13" t="n"/>
      <c r="AC207" s="14" t="n"/>
      <c r="AD207" s="14" t="n"/>
      <c r="AE207" s="13" t="n"/>
      <c r="AF207" s="15">
        <f>IF((1-K207-가정!$C$16-가정!$C$17-가정!$C$27-1/11)&lt;=0,"",IFERROR((I207+L207+M207)/(1-K207-가정!$C$16-가정!$C$17-가정!$C$27-1/11),""))</f>
        <v/>
      </c>
      <c r="AG207" s="15">
        <f>IF(OR(AA207="",AF207=""),"",AA207-AF207)</f>
        <v/>
      </c>
      <c r="AH207" s="16">
        <f>IF(G207="","",IFERROR((IF(AE207="",0,가정!$C$31*MIN(1,LOG(AE207+1)/LOG(가정!$C$30)))+IF(AB207="",0,가정!$C$32*(MAX(0,1-AB207/가정!$C$29)*0.6+AC207*0.4))+IF(AD207="",0,가정!$C$33*MAX(0,1-AD207))+IF(V207="",0,가정!$C$34*MIN(1,MAX(0,(V207-가정!$C$27)/(가정!$C$28-가정!$C$27)))))/(IF(AE207="",0,가정!$C$31)+IF(AB207="",0,가정!$C$32)+IF(AD207="",0,가정!$C$33)+IF(V207="",0,가정!$C$34))*100,""))</f>
        <v/>
      </c>
      <c r="AI207" s="17">
        <f>IF(AH207="","",IF(U207&lt;=0,"역마진",IF(AH207&gt;=가정!$C$35,"GO",IF(AH207&gt;=가정!$C$36,"검토","SKIP"))))</f>
        <v/>
      </c>
    </row>
    <row r="209">
      <c r="B209" s="18" t="inlineStr">
        <is>
          <t>요약 / 목표</t>
        </is>
      </c>
    </row>
    <row r="210">
      <c r="B210" s="19" t="inlineStr">
        <is>
          <t>등록 상품 수</t>
        </is>
      </c>
      <c r="D210" s="9">
        <f>COUNTA(C8:C207)</f>
        <v/>
      </c>
    </row>
    <row r="211">
      <c r="B211" s="19" t="inlineStr">
        <is>
          <t>GO 판정 수</t>
        </is>
      </c>
      <c r="D211" s="9">
        <f>COUNTIF(AI8:AI207,"GO")</f>
        <v/>
      </c>
    </row>
    <row r="212">
      <c r="B212" s="19" t="inlineStr">
        <is>
          <t>검토 판정 수</t>
        </is>
      </c>
      <c r="D212" s="9">
        <f>COUNTIF(AI8:AI207,"검토")</f>
        <v/>
      </c>
    </row>
    <row r="213">
      <c r="B213" s="19" t="inlineStr">
        <is>
          <t>역마진 수</t>
        </is>
      </c>
      <c r="D213" s="9">
        <f>COUNTIF(AI8:AI207,"역마진")</f>
        <v/>
      </c>
    </row>
    <row r="214">
      <c r="B214" s="19" t="inlineStr">
        <is>
          <t>평균 마진율</t>
        </is>
      </c>
      <c r="D214" s="12">
        <f>IFERROR(AVERAGE(V8:V207),"")</f>
        <v/>
      </c>
    </row>
    <row r="215">
      <c r="B215" s="19" t="inlineStr">
        <is>
          <t>최고 기회점수</t>
        </is>
      </c>
      <c r="D215" s="20">
        <f>IFERROR(MAX(AH8:AH207),"")</f>
        <v/>
      </c>
    </row>
    <row r="216">
      <c r="B216" s="19" t="inlineStr">
        <is>
          <t>월 목표 이익(원)</t>
        </is>
      </c>
      <c r="D216" s="9">
        <f>가정!$C$38</f>
        <v/>
      </c>
    </row>
    <row r="217">
      <c r="B217" s="19" t="inlineStr">
        <is>
          <t>→ 최고마진 상품 기준 월 필요 판매수</t>
        </is>
      </c>
      <c r="D217" s="9">
        <f>IFERROR(가정!$C$38/MAX(U8:U207),"")</f>
        <v/>
      </c>
    </row>
    <row r="218">
      <c r="B218" s="19" t="inlineStr">
        <is>
          <t>→ 일 필요 판매수</t>
        </is>
      </c>
      <c r="D218" s="20">
        <f>IFERROR(가정!$C$38/MAX(U8:U207)/30,"")</f>
        <v/>
      </c>
    </row>
  </sheetData>
  <mergeCells count="203">
    <mergeCell ref="C62:D62"/>
    <mergeCell ref="C15:D15"/>
    <mergeCell ref="C98:D98"/>
    <mergeCell ref="C191:D191"/>
    <mergeCell ref="C107:D107"/>
    <mergeCell ref="C89:D89"/>
    <mergeCell ref="C116:D116"/>
    <mergeCell ref="C172:D172"/>
    <mergeCell ref="C187:D187"/>
    <mergeCell ref="C64:D64"/>
    <mergeCell ref="C79:D79"/>
    <mergeCell ref="C184:D184"/>
    <mergeCell ref="C73:D73"/>
    <mergeCell ref="C162:D162"/>
    <mergeCell ref="C171:D171"/>
    <mergeCell ref="B2:N5"/>
    <mergeCell ref="C54:D54"/>
    <mergeCell ref="C63:D63"/>
    <mergeCell ref="C121:D121"/>
    <mergeCell ref="C41:D41"/>
    <mergeCell ref="C134:D134"/>
    <mergeCell ref="C146:D146"/>
    <mergeCell ref="C93:D93"/>
    <mergeCell ref="C50:D50"/>
    <mergeCell ref="C164:D164"/>
    <mergeCell ref="C177:D177"/>
    <mergeCell ref="C173:D173"/>
    <mergeCell ref="C56:D56"/>
    <mergeCell ref="C148:D148"/>
    <mergeCell ref="C105:D105"/>
    <mergeCell ref="C43:D43"/>
    <mergeCell ref="C163:D163"/>
    <mergeCell ref="C138:D138"/>
    <mergeCell ref="C27:D27"/>
    <mergeCell ref="C76:D76"/>
    <mergeCell ref="C120:D120"/>
    <mergeCell ref="C36:D36"/>
    <mergeCell ref="C119:D119"/>
    <mergeCell ref="C17:D17"/>
    <mergeCell ref="C149:D149"/>
    <mergeCell ref="C158:D158"/>
    <mergeCell ref="C67:D67"/>
    <mergeCell ref="C19:D19"/>
    <mergeCell ref="C190:D190"/>
    <mergeCell ref="C28:D28"/>
    <mergeCell ref="C111:D111"/>
    <mergeCell ref="C69:D69"/>
    <mergeCell ref="C83:D83"/>
    <mergeCell ref="C92:D92"/>
    <mergeCell ref="C30:D30"/>
    <mergeCell ref="C175:D175"/>
    <mergeCell ref="C14:D14"/>
    <mergeCell ref="C45:D45"/>
    <mergeCell ref="C185:D185"/>
    <mergeCell ref="C97:D97"/>
    <mergeCell ref="P2:AI5"/>
    <mergeCell ref="C200:D200"/>
    <mergeCell ref="C109:D109"/>
    <mergeCell ref="C147:D147"/>
    <mergeCell ref="C47:D47"/>
    <mergeCell ref="C137:D137"/>
    <mergeCell ref="C202:D202"/>
    <mergeCell ref="C40:D40"/>
    <mergeCell ref="C124:D124"/>
    <mergeCell ref="C192:D192"/>
    <mergeCell ref="C201:D201"/>
    <mergeCell ref="C90:D90"/>
    <mergeCell ref="C139:D139"/>
    <mergeCell ref="C60:D60"/>
    <mergeCell ref="C188:D188"/>
    <mergeCell ref="C71:D71"/>
    <mergeCell ref="C123:D123"/>
    <mergeCell ref="C194:D194"/>
    <mergeCell ref="C132:D132"/>
    <mergeCell ref="C110:D110"/>
    <mergeCell ref="C203:D203"/>
    <mergeCell ref="C181:D181"/>
    <mergeCell ref="C8:D8"/>
    <mergeCell ref="C91:D91"/>
    <mergeCell ref="C82:D82"/>
    <mergeCell ref="C165:D165"/>
    <mergeCell ref="C174:D174"/>
    <mergeCell ref="C57:D57"/>
    <mergeCell ref="C66:D66"/>
    <mergeCell ref="C155:D155"/>
    <mergeCell ref="C18:D18"/>
    <mergeCell ref="C53:D53"/>
    <mergeCell ref="C102:D102"/>
    <mergeCell ref="C189:D189"/>
    <mergeCell ref="C77:D77"/>
    <mergeCell ref="C34:D34"/>
    <mergeCell ref="C86:D86"/>
    <mergeCell ref="C179:D179"/>
    <mergeCell ref="C68:D68"/>
    <mergeCell ref="C157:D157"/>
    <mergeCell ref="C151:D151"/>
    <mergeCell ref="C108:D108"/>
    <mergeCell ref="C166:D166"/>
    <mergeCell ref="C160:D160"/>
    <mergeCell ref="C58:D58"/>
    <mergeCell ref="C141:D141"/>
    <mergeCell ref="C128:D128"/>
    <mergeCell ref="C20:D20"/>
    <mergeCell ref="C113:D113"/>
    <mergeCell ref="C29:D29"/>
    <mergeCell ref="C85:D85"/>
    <mergeCell ref="C100:D100"/>
    <mergeCell ref="C112:D112"/>
    <mergeCell ref="C143:D143"/>
    <mergeCell ref="C94:D94"/>
    <mergeCell ref="C65:D65"/>
    <mergeCell ref="C152:D152"/>
    <mergeCell ref="C183:D183"/>
    <mergeCell ref="C205:D205"/>
    <mergeCell ref="C44:D44"/>
    <mergeCell ref="C75:D75"/>
    <mergeCell ref="C22:D22"/>
    <mergeCell ref="C84:D84"/>
    <mergeCell ref="C127:D127"/>
    <mergeCell ref="C133:D133"/>
    <mergeCell ref="C31:D31"/>
    <mergeCell ref="C80:D80"/>
    <mergeCell ref="C142:D142"/>
    <mergeCell ref="C114:D114"/>
    <mergeCell ref="C129:D129"/>
    <mergeCell ref="C176:D176"/>
    <mergeCell ref="C59:D59"/>
    <mergeCell ref="C12:D12"/>
    <mergeCell ref="C46:D46"/>
    <mergeCell ref="C21:D21"/>
    <mergeCell ref="C145:D145"/>
    <mergeCell ref="C51:D51"/>
    <mergeCell ref="C95:D95"/>
    <mergeCell ref="C178:D178"/>
    <mergeCell ref="C61:D61"/>
    <mergeCell ref="C70:D70"/>
    <mergeCell ref="C48:D48"/>
    <mergeCell ref="C23:D23"/>
    <mergeCell ref="C106:D106"/>
    <mergeCell ref="C32:D32"/>
    <mergeCell ref="C38:D38"/>
    <mergeCell ref="C125:D125"/>
    <mergeCell ref="C161:D161"/>
    <mergeCell ref="C170:D170"/>
    <mergeCell ref="C131:D131"/>
    <mergeCell ref="C140:D140"/>
    <mergeCell ref="C154:D154"/>
    <mergeCell ref="C49:D49"/>
    <mergeCell ref="C101:D101"/>
    <mergeCell ref="C24:D24"/>
    <mergeCell ref="C195:D195"/>
    <mergeCell ref="C33:D33"/>
    <mergeCell ref="C204:D204"/>
    <mergeCell ref="C104:D104"/>
    <mergeCell ref="C42:D42"/>
    <mergeCell ref="C156:D156"/>
    <mergeCell ref="C74:D74"/>
    <mergeCell ref="C88:D88"/>
    <mergeCell ref="C126:D126"/>
    <mergeCell ref="C26:D26"/>
    <mergeCell ref="C197:D197"/>
    <mergeCell ref="C35:D35"/>
    <mergeCell ref="C206:D206"/>
    <mergeCell ref="C10:D10"/>
    <mergeCell ref="C16:D16"/>
    <mergeCell ref="C25:D25"/>
    <mergeCell ref="C103:D103"/>
    <mergeCell ref="C196:D196"/>
    <mergeCell ref="C117:D117"/>
    <mergeCell ref="C55:D55"/>
    <mergeCell ref="C99:D99"/>
    <mergeCell ref="C168:D168"/>
    <mergeCell ref="C9:D9"/>
    <mergeCell ref="C180:D180"/>
    <mergeCell ref="C118:D118"/>
    <mergeCell ref="C167:D167"/>
    <mergeCell ref="C198:D198"/>
    <mergeCell ref="C115:D115"/>
    <mergeCell ref="C130:D130"/>
    <mergeCell ref="C207:D207"/>
    <mergeCell ref="C11:D11"/>
    <mergeCell ref="C182:D182"/>
    <mergeCell ref="C169:D169"/>
    <mergeCell ref="C136:D136"/>
    <mergeCell ref="C52:D52"/>
    <mergeCell ref="C135:D135"/>
    <mergeCell ref="C150:D150"/>
    <mergeCell ref="C39:D39"/>
    <mergeCell ref="C144:D144"/>
    <mergeCell ref="C159:D159"/>
    <mergeCell ref="C122:D122"/>
    <mergeCell ref="B209:D209"/>
    <mergeCell ref="C153:D153"/>
    <mergeCell ref="C72:D72"/>
    <mergeCell ref="C199:D199"/>
    <mergeCell ref="C81:D81"/>
    <mergeCell ref="C37:D37"/>
    <mergeCell ref="C186:D186"/>
    <mergeCell ref="C193:D193"/>
    <mergeCell ref="C13:D13"/>
    <mergeCell ref="C96:D96"/>
    <mergeCell ref="C78:D78"/>
    <mergeCell ref="C87:D87"/>
  </mergeCells>
  <conditionalFormatting sqref="V8:V207">
    <cfRule type="cellIs" priority="1" operator="lessThan" dxfId="0">
      <formula>0</formula>
    </cfRule>
    <cfRule type="cellIs" priority="2" operator="greaterThanOrEqual" dxfId="1">
      <formula>가정!$C$28</formula>
    </cfRule>
  </conditionalFormatting>
  <conditionalFormatting sqref="AI8:AI207">
    <cfRule type="cellIs" priority="3" operator="equal" dxfId="1">
      <formula>"GO"</formula>
    </cfRule>
    <cfRule type="cellIs" priority="4" operator="equal" dxfId="0">
      <formula>"역마진"</formula>
    </cfRule>
    <cfRule type="cellIs" priority="5" operator="equal" dxfId="2">
      <formula>"SKIP"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52" customWidth="1" min="4" max="4"/>
  </cols>
  <sheetData>
    <row r="2" ht="24" customHeight="1">
      <c r="B2" s="1" t="inlineStr">
        <is>
          <t>가정 (여기만 고치면 전체 계산이 바뀝니다)</t>
        </is>
      </c>
    </row>
    <row r="4">
      <c r="B4" s="21" t="inlineStr">
        <is>
          <t>① 사업자 / 세금</t>
        </is>
      </c>
      <c r="C4" s="22" t="n"/>
      <c r="D4" s="22" t="n"/>
    </row>
    <row r="5">
      <c r="B5" s="19" t="inlineStr">
        <is>
          <t>사업자 유형</t>
        </is>
      </c>
      <c r="C5" s="7" t="inlineStr">
        <is>
          <t>일반과세</t>
        </is>
      </c>
      <c r="D5" s="23" t="inlineStr">
        <is>
          <t>일반과세 / 간이과세 중 입력. 간이과세는 부가세를 매출×1.5%로 근사</t>
        </is>
      </c>
    </row>
    <row r="6">
      <c r="B6" s="19" t="inlineStr">
        <is>
          <t>예상 연 과세표준(원)</t>
        </is>
      </c>
      <c r="C6" s="8" t="n">
        <v>50000000</v>
      </c>
      <c r="D6" s="23" t="inlineStr">
        <is>
          <t>이 값으로 종합소득세 한계세율이 자동 결정됩니다(세율표 시트)</t>
        </is>
      </c>
    </row>
    <row r="7">
      <c r="B7" s="19" t="inlineStr">
        <is>
          <t>→ 적용 소득세율(지방포함)</t>
        </is>
      </c>
      <c r="C7" s="12">
        <f>IFERROR(INDEX(세율표!$E$4:$E$11,MATCH($C$6,세율표!$B$4:$B$11,1)),0)</f>
        <v/>
      </c>
      <c r="D7" s="23" t="inlineStr">
        <is>
          <t>자동 계산: 종합소득세 + 지방소득세 10%</t>
        </is>
      </c>
    </row>
    <row r="8">
      <c r="B8" s="19" t="inlineStr">
        <is>
          <t>부가가치세율</t>
        </is>
      </c>
      <c r="C8" s="11" t="n">
        <v>0.1</v>
      </c>
      <c r="D8" s="23" t="inlineStr">
        <is>
          <t>기본 10%</t>
        </is>
      </c>
    </row>
    <row r="9">
      <c r="B9" s="21" t="inlineStr">
        <is>
          <t>② 수입 / 원가</t>
        </is>
      </c>
      <c r="C9" s="22" t="n"/>
      <c r="D9" s="22" t="n"/>
    </row>
    <row r="10">
      <c r="B10" s="19" t="inlineStr">
        <is>
          <t>환율 CNY→KRW (체감)</t>
        </is>
      </c>
      <c r="C10" s="8" t="n">
        <v>300</v>
      </c>
      <c r="D10" s="23" t="inlineStr">
        <is>
          <t>원본 V3의 '=원가×300' 관례 유지. 실환율(≈195)에 국제운임·관세·통관을 얹은 체감환율</t>
        </is>
      </c>
    </row>
    <row r="11">
      <c r="B11" s="19" t="inlineStr">
        <is>
          <t>수입 통관 방식</t>
        </is>
      </c>
      <c r="C11" s="7" t="inlineStr">
        <is>
          <t>정식통관</t>
        </is>
      </c>
      <c r="D11" s="23" t="inlineStr">
        <is>
          <t>정식통관 / 구매대행. 정식통관이면 수입부가세를 매입세액으로 공제</t>
        </is>
      </c>
    </row>
    <row r="12">
      <c r="B12" s="19" t="inlineStr">
        <is>
          <t>수입 매입세액 공제율</t>
        </is>
      </c>
      <c r="C12" s="11" t="n">
        <v>0.1</v>
      </c>
      <c r="D12" s="23" t="inlineStr">
        <is>
          <t>정식통관 시 공급가 대비 공제율(≈10%). 구매대행·직송금이면 공제 0</t>
        </is>
      </c>
    </row>
    <row r="13">
      <c r="B13" s="21" t="inlineStr">
        <is>
          <t>③ 쿠팡 수수료 / 비용</t>
        </is>
      </c>
      <c r="C13" s="22" t="n"/>
      <c r="D13" s="22" t="n"/>
    </row>
    <row r="14">
      <c r="B14" s="19" t="inlineStr">
        <is>
          <t>판매수수료 기본(%)</t>
        </is>
      </c>
      <c r="C14" s="11" t="n">
        <v>0.108</v>
      </c>
      <c r="D14" s="23" t="inlineStr">
        <is>
          <t>카테고리별 4~10.8%. 상품별로 K열에서 덮어쓸 수 있음</t>
        </is>
      </c>
    </row>
    <row r="15">
      <c r="B15" s="19" t="inlineStr">
        <is>
          <t>배송비 수수료율</t>
        </is>
      </c>
      <c r="C15" s="11" t="n">
        <v>0.0363</v>
      </c>
      <c r="D15" s="23" t="inlineStr">
        <is>
          <t>원본 V3의 3.63% 유지(배송비에 부과되는 수수료)</t>
        </is>
      </c>
    </row>
    <row r="16">
      <c r="B16" s="19" t="inlineStr">
        <is>
          <t>마케팅(광고) 기본(%)</t>
        </is>
      </c>
      <c r="C16" s="11" t="n">
        <v>0.15</v>
      </c>
      <c r="D16" s="23" t="inlineStr">
        <is>
          <t>원본 V3의 '=판매가×15%' 유지. ⚠️ 전량 광고판매 가정이면 과대 — 아래 광고믹스 참고</t>
        </is>
      </c>
    </row>
    <row r="17">
      <c r="B17" s="19" t="inlineStr">
        <is>
          <t>기타 비용(%)</t>
        </is>
      </c>
      <c r="C17" s="11" t="n">
        <v>0.03</v>
      </c>
      <c r="D17" s="23" t="inlineStr">
        <is>
          <t>원본 V3의 '=판매가×3%' 유지(반품·잡비 등)</t>
        </is>
      </c>
    </row>
    <row r="18">
      <c r="B18" s="19" t="inlineStr">
        <is>
          <t>반품율</t>
        </is>
      </c>
      <c r="C18" s="11" t="n">
        <v>0.02</v>
      </c>
      <c r="D18" s="23" t="inlineStr">
        <is>
          <t>참고용(마케팅·기타에 이미 반영돼 있으면 중복 주의)</t>
        </is>
      </c>
    </row>
    <row r="19">
      <c r="B19" s="21" t="inlineStr">
        <is>
          <t>④ 광고 믹스 (무광고 판매 가능성 판단)</t>
        </is>
      </c>
      <c r="C19" s="22" t="n"/>
      <c r="D19" s="22" t="n"/>
    </row>
    <row r="20">
      <c r="B20" s="19" t="inlineStr">
        <is>
          <t>광고 CPC(원)</t>
        </is>
      </c>
      <c r="C20" s="8" t="n">
        <v>300</v>
      </c>
      <c r="D20" s="23" t="inlineStr">
        <is>
          <t>쿠팡 광고 클릭당 비용</t>
        </is>
      </c>
    </row>
    <row r="21">
      <c r="B21" s="19" t="inlineStr">
        <is>
          <t>전환율</t>
        </is>
      </c>
      <c r="C21" s="11" t="n">
        <v>0.02</v>
      </c>
      <c r="D21" s="23" t="inlineStr">
        <is>
          <t>클릭 대비 구매 전환율</t>
        </is>
      </c>
    </row>
    <row r="22">
      <c r="B22" s="19" t="inlineStr">
        <is>
          <t>→ 광고 판매 1건당 광고비</t>
        </is>
      </c>
      <c r="C22" s="9">
        <f>IFERROR($C$20/$C$21,0)</f>
        <v/>
      </c>
      <c r="D22" s="23">
        <f> CPC ÷ 전환율. 전량 광고로 팔면 이 금액이 개당 광고비</f>
        <v/>
      </c>
    </row>
    <row r="23">
      <c r="B23" s="19" t="inlineStr">
        <is>
          <t>광고 판매 비중</t>
        </is>
      </c>
      <c r="C23" s="11" t="n">
        <v>0.2</v>
      </c>
      <c r="D23" s="23" t="inlineStr">
        <is>
          <t>전체 판매 중 광고로 팔리는 비율. 낮출수록 실질 광고비↓ (오가닉 확보가 핵심)</t>
        </is>
      </c>
    </row>
    <row r="24">
      <c r="B24" s="19" t="inlineStr">
        <is>
          <t>→ 개당 실질 광고비</t>
        </is>
      </c>
      <c r="C24" s="9">
        <f>$C$22*$C$23</f>
        <v/>
      </c>
      <c r="D24" s="23">
        <f> 건당 광고비 × 광고 판매 비중. N열(마케팅) 대신 쓰려면 아래 스위치 ON</f>
        <v/>
      </c>
    </row>
    <row r="25">
      <c r="B25" s="19" t="inlineStr">
        <is>
          <t>마케팅에 광고믹스 사용</t>
        </is>
      </c>
      <c r="C25" s="7" t="inlineStr">
        <is>
          <t>N</t>
        </is>
      </c>
      <c r="D25" s="23" t="inlineStr">
        <is>
          <t>Y면 마케팅 = 위 '개당 실질 광고비', N이면 마케팅 = 판매가×마케팅%</t>
        </is>
      </c>
    </row>
    <row r="26">
      <c r="B26" s="21" t="inlineStr">
        <is>
          <t>⑤ 소싱 판정 기준</t>
        </is>
      </c>
      <c r="C26" s="22" t="n"/>
      <c r="D26" s="22" t="n"/>
    </row>
    <row r="27">
      <c r="B27" s="19" t="inlineStr">
        <is>
          <t>마진 안전선</t>
        </is>
      </c>
      <c r="C27" s="11" t="n">
        <v>0.1</v>
      </c>
      <c r="D27" s="23" t="inlineStr">
        <is>
          <t>이 아래면 '위험'</t>
        </is>
      </c>
    </row>
    <row r="28">
      <c r="B28" s="19" t="inlineStr">
        <is>
          <t>마진 우수선</t>
        </is>
      </c>
      <c r="C28" s="11" t="n">
        <v>0.3</v>
      </c>
      <c r="D28" s="23" t="inlineStr">
        <is>
          <t>이 이상이면 마진점수 만점</t>
        </is>
      </c>
    </row>
    <row r="29">
      <c r="B29" s="19" t="inlineStr">
        <is>
          <t>리뷰 상한(경쟁 과열)</t>
        </is>
      </c>
      <c r="C29" s="8" t="n">
        <v>300</v>
      </c>
      <c r="D29" s="23" t="inlineStr">
        <is>
          <t>경쟁사 리뷰 중앙값이 이 이상이면 진입점수 0</t>
        </is>
      </c>
    </row>
    <row r="30">
      <c r="B30" s="19" t="inlineStr">
        <is>
          <t>검색량 포화점</t>
        </is>
      </c>
      <c r="C30" s="8" t="n">
        <v>50000</v>
      </c>
      <c r="D30" s="23" t="inlineStr">
        <is>
          <t>월 검색량이 이 값이면 수요점수 만점</t>
        </is>
      </c>
    </row>
    <row r="31">
      <c r="B31" s="19" t="inlineStr">
        <is>
          <t>가중치·수요</t>
        </is>
      </c>
      <c r="C31" s="11" t="n">
        <v>0.3</v>
      </c>
      <c r="D31" s="23" t="inlineStr">
        <is>
          <t>합이 1이 되도록</t>
        </is>
      </c>
    </row>
    <row r="32">
      <c r="B32" s="19" t="inlineStr">
        <is>
          <t>가중치·진입용이</t>
        </is>
      </c>
      <c r="C32" s="11" t="n">
        <v>0.3</v>
      </c>
      <c r="D32" s="23" t="inlineStr">
        <is>
          <t>리뷰 낮고 이길만한 경쟁자 많을수록</t>
        </is>
      </c>
    </row>
    <row r="33">
      <c r="B33" s="19" t="inlineStr">
        <is>
          <t>가중치·저광고</t>
        </is>
      </c>
      <c r="C33" s="11" t="n">
        <v>0.15</v>
      </c>
      <c r="D33" s="23" t="inlineStr">
        <is>
          <t>광고 침투율이 낮을수록</t>
        </is>
      </c>
    </row>
    <row r="34">
      <c r="B34" s="19" t="inlineStr">
        <is>
          <t>가중치·마진</t>
        </is>
      </c>
      <c r="C34" s="11" t="n">
        <v>0.25</v>
      </c>
      <c r="D34" s="23" t="inlineStr">
        <is>
          <t>마진율이 높을수록</t>
        </is>
      </c>
    </row>
    <row r="35">
      <c r="B35" s="19" t="inlineStr">
        <is>
          <t>GO 기준 점수</t>
        </is>
      </c>
      <c r="C35" s="24" t="n">
        <v>65</v>
      </c>
      <c r="D35" s="23" t="inlineStr">
        <is>
          <t>이 이상이면 GO</t>
        </is>
      </c>
    </row>
    <row r="36">
      <c r="B36" s="19" t="inlineStr">
        <is>
          <t>검토 기준 점수</t>
        </is>
      </c>
      <c r="C36" s="24" t="n">
        <v>45</v>
      </c>
      <c r="D36" s="23" t="inlineStr">
        <is>
          <t>이 이상이면 검토, 미만이면 SKIP</t>
        </is>
      </c>
    </row>
    <row r="37">
      <c r="B37" s="21" t="inlineStr">
        <is>
          <t>⑥ 목표</t>
        </is>
      </c>
      <c r="C37" s="22" t="n"/>
      <c r="D37" s="22" t="n"/>
    </row>
    <row r="38">
      <c r="B38" s="19" t="inlineStr">
        <is>
          <t>월 목표 이익(원)</t>
        </is>
      </c>
      <c r="C38" s="8" t="n">
        <v>500000</v>
      </c>
      <c r="D38" s="23" t="inlineStr">
        <is>
          <t>원본 V3의 '월 목표금액' 계승</t>
        </is>
      </c>
    </row>
    <row r="40">
      <c r="B40" s="25" t="inlineStr">
        <is>
          <t>색상 범례</t>
        </is>
      </c>
    </row>
    <row r="41">
      <c r="B41" s="26" t="inlineStr">
        <is>
          <t>직접 입력</t>
        </is>
      </c>
      <c r="D41" s="23" t="inlineStr">
        <is>
          <t>노랑 = 여기를 채우세요</t>
        </is>
      </c>
    </row>
    <row r="42">
      <c r="B42" s="27" t="inlineStr">
        <is>
          <t>소싱 입력</t>
        </is>
      </c>
      <c r="D42" s="23" t="inlineStr">
        <is>
          <t>연두 = 경쟁사 조사값 (소싱현황 AA~AE열)</t>
        </is>
      </c>
    </row>
    <row r="43">
      <c r="B43" s="28" t="inlineStr">
        <is>
          <t>판정 결과</t>
        </is>
      </c>
      <c r="D43" s="23" t="inlineStr">
        <is>
          <t>주황 = 자동 판정 (소싱현황 AF~AI열)</t>
        </is>
      </c>
    </row>
  </sheetData>
  <mergeCells count="1"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4" customWidth="1" min="4" max="4"/>
    <col width="14" customWidth="1" min="5" max="5"/>
    <col width="40" customWidth="1" min="6" max="6"/>
  </cols>
  <sheetData>
    <row r="2">
      <c r="B2" s="1" t="inlineStr">
        <is>
          <t>종합소득세 누진세율 (개인 일반사업자) — 지방소득세 10% 포함</t>
        </is>
      </c>
    </row>
    <row r="3">
      <c r="B3" s="29" t="inlineStr">
        <is>
          <t>과세표준 하한</t>
        </is>
      </c>
      <c r="C3" s="29" t="inlineStr">
        <is>
          <t>과세표준 상한</t>
        </is>
      </c>
      <c r="D3" s="29" t="inlineStr">
        <is>
          <t>소득세율</t>
        </is>
      </c>
      <c r="E3" s="29" t="inlineStr">
        <is>
          <t>지방포함</t>
        </is>
      </c>
      <c r="F3" s="29" t="inlineStr">
        <is>
          <t>비고</t>
        </is>
      </c>
    </row>
    <row r="4">
      <c r="B4" s="30" t="n">
        <v>0</v>
      </c>
      <c r="C4" s="30" t="n">
        <v>14000000</v>
      </c>
      <c r="D4" s="31" t="n">
        <v>0.06</v>
      </c>
      <c r="E4" s="31">
        <f>D4*1.1</f>
        <v/>
      </c>
      <c r="F4" s="32" t="inlineStr">
        <is>
          <t>1,400만원 이하</t>
        </is>
      </c>
    </row>
    <row r="5">
      <c r="B5" s="30" t="n">
        <v>14000000</v>
      </c>
      <c r="C5" s="30" t="n">
        <v>50000000</v>
      </c>
      <c r="D5" s="31" t="n">
        <v>0.15</v>
      </c>
      <c r="E5" s="31">
        <f>D5*1.1</f>
        <v/>
      </c>
      <c r="F5" s="32" t="inlineStr">
        <is>
          <t>1,400만 ~ 5,000만</t>
        </is>
      </c>
    </row>
    <row r="6">
      <c r="B6" s="30" t="n">
        <v>50000000</v>
      </c>
      <c r="C6" s="30" t="n">
        <v>88000000</v>
      </c>
      <c r="D6" s="31" t="n">
        <v>0.24</v>
      </c>
      <c r="E6" s="31">
        <f>D6*1.1</f>
        <v/>
      </c>
      <c r="F6" s="32" t="inlineStr">
        <is>
          <t>5,000만 ~ 8,800만</t>
        </is>
      </c>
    </row>
    <row r="7">
      <c r="B7" s="30" t="n">
        <v>88000000</v>
      </c>
      <c r="C7" s="30" t="n">
        <v>150000000</v>
      </c>
      <c r="D7" s="31" t="n">
        <v>0.35</v>
      </c>
      <c r="E7" s="31">
        <f>D7*1.1</f>
        <v/>
      </c>
      <c r="F7" s="32" t="inlineStr">
        <is>
          <t>8,800만 ~ 1.5억</t>
        </is>
      </c>
    </row>
    <row r="8">
      <c r="B8" s="30" t="n">
        <v>150000000</v>
      </c>
      <c r="C8" s="30" t="n">
        <v>300000000</v>
      </c>
      <c r="D8" s="31" t="n">
        <v>0.38</v>
      </c>
      <c r="E8" s="31">
        <f>D8*1.1</f>
        <v/>
      </c>
      <c r="F8" s="32" t="inlineStr">
        <is>
          <t>1.5억 ~ 3억</t>
        </is>
      </c>
    </row>
    <row r="9">
      <c r="B9" s="30" t="n">
        <v>300000000</v>
      </c>
      <c r="C9" s="30" t="n">
        <v>500000000</v>
      </c>
      <c r="D9" s="31" t="n">
        <v>0.4</v>
      </c>
      <c r="E9" s="31">
        <f>D9*1.1</f>
        <v/>
      </c>
      <c r="F9" s="32" t="inlineStr">
        <is>
          <t>3억 ~ 5억</t>
        </is>
      </c>
    </row>
    <row r="10">
      <c r="B10" s="30" t="n">
        <v>500000000</v>
      </c>
      <c r="C10" s="30" t="n">
        <v>1000000000</v>
      </c>
      <c r="D10" s="31" t="n">
        <v>0.42</v>
      </c>
      <c r="E10" s="31">
        <f>D10*1.1</f>
        <v/>
      </c>
      <c r="F10" s="32" t="inlineStr">
        <is>
          <t>5억 ~ 10억</t>
        </is>
      </c>
    </row>
    <row r="11">
      <c r="B11" s="30" t="n">
        <v>1000000000</v>
      </c>
      <c r="C11" s="30" t="inlineStr">
        <is>
          <t>이상</t>
        </is>
      </c>
      <c r="D11" s="31" t="n">
        <v>0.45</v>
      </c>
      <c r="E11" s="31">
        <f>D11*1.1</f>
        <v/>
      </c>
      <c r="F11" s="32" t="inlineStr">
        <is>
          <t>10억 초과</t>
        </is>
      </c>
    </row>
    <row r="13">
      <c r="B13" s="23" t="inlineStr">
        <is>
          <t>※ 단위 마진에 적용하는 것은 '한계세율'입니다. 1개 더 팔 때 늘어나는 세금이므로 누진공제는 반영하지 않습니다(원본 V3의 R×16% 방식과 동일한 취지).</t>
        </is>
      </c>
    </row>
    <row r="14">
      <c r="B14" s="23" t="inlineStr">
        <is>
          <t>※ 참고 - 법인세: 과표 2억 이하 9%(지방포함 9.9%), 2억~200억 19%(20.9%). 원본 V3의 16%는 개인 1,400만~5,000만 구간(16.5%)에 가깝습니다.</t>
        </is>
      </c>
    </row>
    <row r="15">
      <c r="B15" s="23" t="inlineStr">
        <is>
          <t>※ 4대보험·건강보험료는 미반영. 실제 수령액은 이보다 낮을 수 있습니다.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2026-07-26T11:30:53Z</dcterms:created>
  <dcterms:modified xmlns:dcterms="http://purl.org/dc/terms/" xmlns:xsi="http://www.w3.org/2001/XMLSchema-instance" xsi:type="dcterms:W3CDTF">2026-07-26T11:30:53Z</dcterms:modified>
</cp:coreProperties>
</file>